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7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Versão 2.0\"/>
    </mc:Choice>
  </mc:AlternateContent>
  <xr:revisionPtr revIDLastSave="0" documentId="13_ncr:1_{FCC79211-780E-46D3-A207-172B66A4F517}" xr6:coauthVersionLast="45" xr6:coauthVersionMax="45" xr10:uidLastSave="{00000000-0000-0000-0000-000000000000}"/>
  <bookViews>
    <workbookView xWindow="-108" yWindow="-108" windowWidth="23256" windowHeight="12576" tabRatio="9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 Antigo" sheetId="9" state="hidden" r:id="rId26"/>
    <sheet name="Resultados" sheetId="66" r:id="rId27"/>
    <sheet name="cálculos" sheetId="4" state="hidden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4" l="1"/>
  <c r="J13" i="4" s="1"/>
  <c r="L13" i="4" s="1"/>
  <c r="F31" i="4"/>
  <c r="G31" i="4"/>
  <c r="H31" i="4"/>
  <c r="I31" i="4"/>
  <c r="J31" i="4"/>
  <c r="K31" i="4"/>
  <c r="L31" i="4"/>
  <c r="M31" i="4"/>
  <c r="N31" i="4"/>
  <c r="O31" i="4"/>
  <c r="P31" i="4"/>
  <c r="Q31" i="4"/>
  <c r="F34" i="4"/>
  <c r="G34" i="4"/>
  <c r="H34" i="4"/>
  <c r="I34" i="4"/>
  <c r="J34" i="4"/>
  <c r="K34" i="4"/>
  <c r="L34" i="4"/>
  <c r="M34" i="4"/>
  <c r="N34" i="4"/>
  <c r="O34" i="4"/>
  <c r="P34" i="4"/>
  <c r="Q34" i="4"/>
  <c r="F37" i="4"/>
  <c r="G37" i="4"/>
  <c r="H37" i="4"/>
  <c r="I37" i="4"/>
  <c r="J37" i="4"/>
  <c r="K37" i="4"/>
  <c r="L37" i="4"/>
  <c r="M37" i="4"/>
  <c r="N37" i="4"/>
  <c r="O37" i="4"/>
  <c r="P37" i="4"/>
  <c r="Q37" i="4"/>
  <c r="F40" i="4"/>
  <c r="G40" i="4"/>
  <c r="H40" i="4"/>
  <c r="I40" i="4"/>
  <c r="J40" i="4"/>
  <c r="K40" i="4"/>
  <c r="L40" i="4"/>
  <c r="M40" i="4"/>
  <c r="N40" i="4"/>
  <c r="O40" i="4"/>
  <c r="P40" i="4"/>
  <c r="Q40" i="4"/>
  <c r="F43" i="4"/>
  <c r="G43" i="4"/>
  <c r="H43" i="4"/>
  <c r="I43" i="4"/>
  <c r="J43" i="4"/>
  <c r="K43" i="4"/>
  <c r="L43" i="4"/>
  <c r="M43" i="4"/>
  <c r="N43" i="4"/>
  <c r="O43" i="4"/>
  <c r="P43" i="4"/>
  <c r="Q43" i="4"/>
  <c r="F46" i="4"/>
  <c r="G46" i="4"/>
  <c r="H46" i="4"/>
  <c r="I46" i="4"/>
  <c r="J46" i="4"/>
  <c r="K46" i="4"/>
  <c r="L46" i="4"/>
  <c r="M46" i="4"/>
  <c r="N46" i="4"/>
  <c r="O46" i="4"/>
  <c r="P46" i="4"/>
  <c r="Q46" i="4"/>
  <c r="E38" i="66" l="1"/>
  <c r="E30" i="66"/>
  <c r="E41" i="66"/>
  <c r="E37" i="66"/>
  <c r="E33" i="66"/>
  <c r="V13" i="4"/>
  <c r="R13" i="4"/>
  <c r="N13" i="4"/>
  <c r="O13" i="4"/>
  <c r="E40" i="66"/>
  <c r="E36" i="66"/>
  <c r="E32" i="66"/>
  <c r="U13" i="4"/>
  <c r="Q13" i="4"/>
  <c r="M13" i="4"/>
  <c r="E34" i="66"/>
  <c r="S13" i="4"/>
  <c r="E39" i="66"/>
  <c r="E35" i="66"/>
  <c r="E31" i="66"/>
  <c r="T13" i="4"/>
  <c r="P13" i="4"/>
  <c r="K13" i="4"/>
  <c r="E13" i="66" l="1"/>
  <c r="E12" i="66"/>
  <c r="E11" i="66"/>
  <c r="E10" i="66"/>
  <c r="E9" i="66"/>
  <c r="E8" i="66"/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<sst xmlns="http://schemas.openxmlformats.org/spreadsheetml/2006/main" count="435" uniqueCount="61">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</sst>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  <xf numFmtId="0" fontId="8" fillId="0" borderId="2" xfId="0" applyFont="1" applyBorder="1"/>
  </cellXfs>
  <cellStyles count="2">
    <cellStyle name="Hiperlink" xfId="1" builtinId="8"/>
    <cellStyle name="Normal" xfId="0" builtinId="0"/>
  </cellStyles>
  <dxfs count="101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D3-4277-9750-2DB9C3789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'Resultados Antigo'!$D$8:$D$13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'Resultados Antigo'!$E$8:$E$13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'Resultados Antigo'!$D$113:$D$124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'Resultados Antigo'!$E$113:$E$124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4E-4A37-A624-113F5459E59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4E-4A37-A624-113F5459E59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4E-4A37-A624-113F5459E59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4E-4A37-A624-113F5459E59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F4E-4A37-A624-113F5459E59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F4E-4A37-A624-113F5459E5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4E-4A37-A624-113F5459E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cálculos!$K$12:$V$12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cálculos!$K$13:$V$13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F-427A-B0DB-58BECFA75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8916671"/>
        <c:axId val="285774319"/>
      </c:barChart>
      <c:catAx>
        <c:axId val="78916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774319"/>
        <c:crosses val="autoZero"/>
        <c:auto val="1"/>
        <c:lblAlgn val="ctr"/>
        <c:lblOffset val="100"/>
        <c:noMultiLvlLbl val="0"/>
      </c:catAx>
      <c:valAx>
        <c:axId val="285774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916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6" fmlaLink="cálculos!$E$13" fmlaRange="cálculos!$F$6:$F$11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13" Type="http://schemas.openxmlformats.org/officeDocument/2006/relationships/hyperlink" Target="#'M&#234;s 1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image" Target="../media/image1.jpeg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92000" cy="547116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12192000" cy="5471160"/>
        </a:xfrm>
        <a:prstGeom prst="rect">
          <a:avLst/>
        </a:prstGeom>
        <a:solidFill>
          <a:schemeClr val="dk1">
            <a:alpha val="3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200116</xdr:colOff>
      <xdr:row>13</xdr:row>
      <xdr:rowOff>137024</xdr:rowOff>
    </xdr:from>
    <xdr:to>
      <xdr:col>9</xdr:col>
      <xdr:colOff>251460</xdr:colOff>
      <xdr:row>17</xdr:row>
      <xdr:rowOff>7620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57716" y="2682104"/>
          <a:ext cx="1880144" cy="602116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 editAs="absolute">
    <xdr:from>
      <xdr:col>9</xdr:col>
      <xdr:colOff>472439</xdr:colOff>
      <xdr:row>13</xdr:row>
      <xdr:rowOff>137160</xdr:rowOff>
    </xdr:from>
    <xdr:to>
      <xdr:col>12</xdr:col>
      <xdr:colOff>594360</xdr:colOff>
      <xdr:row>17</xdr:row>
      <xdr:rowOff>7619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958839" y="2682240"/>
          <a:ext cx="1950721" cy="601979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13</xdr:col>
      <xdr:colOff>152400</xdr:colOff>
      <xdr:row>13</xdr:row>
      <xdr:rowOff>137160</xdr:rowOff>
    </xdr:from>
    <xdr:to>
      <xdr:col>16</xdr:col>
      <xdr:colOff>182880</xdr:colOff>
      <xdr:row>17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077200" y="268224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3</xdr:col>
      <xdr:colOff>0</xdr:colOff>
      <xdr:row>18</xdr:row>
      <xdr:rowOff>15240</xdr:rowOff>
    </xdr:from>
    <xdr:to>
      <xdr:col>6</xdr:col>
      <xdr:colOff>19404</xdr:colOff>
      <xdr:row>21</xdr:row>
      <xdr:rowOff>83820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3474720"/>
          <a:ext cx="1848204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6</xdr:col>
      <xdr:colOff>205740</xdr:colOff>
      <xdr:row>18</xdr:row>
      <xdr:rowOff>7620</xdr:rowOff>
    </xdr:from>
    <xdr:to>
      <xdr:col>9</xdr:col>
      <xdr:colOff>251460</xdr:colOff>
      <xdr:row>21</xdr:row>
      <xdr:rowOff>76200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863340" y="3467100"/>
          <a:ext cx="187452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9</xdr:col>
      <xdr:colOff>449580</xdr:colOff>
      <xdr:row>18</xdr:row>
      <xdr:rowOff>0</xdr:rowOff>
    </xdr:from>
    <xdr:to>
      <xdr:col>12</xdr:col>
      <xdr:colOff>594360</xdr:colOff>
      <xdr:row>21</xdr:row>
      <xdr:rowOff>68580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935980" y="3459480"/>
          <a:ext cx="19735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13</xdr:col>
      <xdr:colOff>152400</xdr:colOff>
      <xdr:row>17</xdr:row>
      <xdr:rowOff>167640</xdr:rowOff>
    </xdr:from>
    <xdr:to>
      <xdr:col>16</xdr:col>
      <xdr:colOff>190500</xdr:colOff>
      <xdr:row>21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077200" y="3444240"/>
          <a:ext cx="186690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3</xdr:col>
      <xdr:colOff>0</xdr:colOff>
      <xdr:row>22</xdr:row>
      <xdr:rowOff>68580</xdr:rowOff>
    </xdr:from>
    <xdr:to>
      <xdr:col>6</xdr:col>
      <xdr:colOff>30480</xdr:colOff>
      <xdr:row>25</xdr:row>
      <xdr:rowOff>137160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82880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6</xdr:col>
      <xdr:colOff>198120</xdr:colOff>
      <xdr:row>22</xdr:row>
      <xdr:rowOff>68580</xdr:rowOff>
    </xdr:from>
    <xdr:to>
      <xdr:col>9</xdr:col>
      <xdr:colOff>251460</xdr:colOff>
      <xdr:row>25</xdr:row>
      <xdr:rowOff>137160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855720" y="4259580"/>
          <a:ext cx="188214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9</xdr:col>
      <xdr:colOff>434340</xdr:colOff>
      <xdr:row>22</xdr:row>
      <xdr:rowOff>60960</xdr:rowOff>
    </xdr:from>
    <xdr:to>
      <xdr:col>13</xdr:col>
      <xdr:colOff>0</xdr:colOff>
      <xdr:row>25</xdr:row>
      <xdr:rowOff>129540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920740" y="4251960"/>
          <a:ext cx="200406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13</xdr:col>
      <xdr:colOff>160020</xdr:colOff>
      <xdr:row>22</xdr:row>
      <xdr:rowOff>68580</xdr:rowOff>
    </xdr:from>
    <xdr:to>
      <xdr:col>16</xdr:col>
      <xdr:colOff>190500</xdr:colOff>
      <xdr:row>25</xdr:row>
      <xdr:rowOff>137160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808482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  <xdr:twoCellAnchor>
    <xdr:from>
      <xdr:col>3</xdr:col>
      <xdr:colOff>5572</xdr:colOff>
      <xdr:row>13</xdr:row>
      <xdr:rowOff>144830</xdr:rowOff>
    </xdr:from>
    <xdr:to>
      <xdr:col>6</xdr:col>
      <xdr:colOff>22860</xdr:colOff>
      <xdr:row>17</xdr:row>
      <xdr:rowOff>0</xdr:rowOff>
    </xdr:to>
    <xdr:sp macro="" textlink="">
      <xdr:nvSpPr>
        <xdr:cNvPr id="2" name="Retângulo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4372" y="2689910"/>
          <a:ext cx="1846088" cy="58669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71717</xdr:rowOff>
    </xdr:from>
    <xdr:to>
      <xdr:col>2</xdr:col>
      <xdr:colOff>627528</xdr:colOff>
      <xdr:row>7</xdr:row>
      <xdr:rowOff>170328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366682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188259</xdr:rowOff>
    </xdr:from>
    <xdr:to>
      <xdr:col>1</xdr:col>
      <xdr:colOff>1631576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18565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188259</xdr:rowOff>
    </xdr:from>
    <xdr:to>
      <xdr:col>2</xdr:col>
      <xdr:colOff>636493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375647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161365</xdr:rowOff>
    </xdr:from>
    <xdr:to>
      <xdr:col>1</xdr:col>
      <xdr:colOff>1622611</xdr:colOff>
      <xdr:row>7</xdr:row>
      <xdr:rowOff>259976</xdr:rowOff>
    </xdr:to>
    <xdr:sp macro="[0]!registra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09600" y="161364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161365</xdr:rowOff>
    </xdr:from>
    <xdr:to>
      <xdr:col>2</xdr:col>
      <xdr:colOff>627528</xdr:colOff>
      <xdr:row>7</xdr:row>
      <xdr:rowOff>259976</xdr:rowOff>
    </xdr:to>
    <xdr:sp macro="[0]!excluir_cliente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366682" y="161364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215154</xdr:rowOff>
    </xdr:from>
    <xdr:to>
      <xdr:col>1</xdr:col>
      <xdr:colOff>1622611</xdr:colOff>
      <xdr:row>7</xdr:row>
      <xdr:rowOff>313765</xdr:rowOff>
    </xdr:to>
    <xdr:sp macro="[0]!registrar_client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09600" y="166743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215154</xdr:rowOff>
    </xdr:from>
    <xdr:to>
      <xdr:col>2</xdr:col>
      <xdr:colOff>627528</xdr:colOff>
      <xdr:row>7</xdr:row>
      <xdr:rowOff>313765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2366682" y="166743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161366</xdr:rowOff>
    </xdr:from>
    <xdr:to>
      <xdr:col>1</xdr:col>
      <xdr:colOff>1622611</xdr:colOff>
      <xdr:row>7</xdr:row>
      <xdr:rowOff>259977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609600" y="161364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161366</xdr:rowOff>
    </xdr:from>
    <xdr:to>
      <xdr:col>2</xdr:col>
      <xdr:colOff>627528</xdr:colOff>
      <xdr:row>7</xdr:row>
      <xdr:rowOff>259977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66682" y="161364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206189</xdr:rowOff>
    </xdr:from>
    <xdr:to>
      <xdr:col>1</xdr:col>
      <xdr:colOff>1631575</xdr:colOff>
      <xdr:row>7</xdr:row>
      <xdr:rowOff>304800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618564" y="165847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1766046</xdr:colOff>
      <xdr:row>6</xdr:row>
      <xdr:rowOff>206189</xdr:rowOff>
    </xdr:from>
    <xdr:to>
      <xdr:col>2</xdr:col>
      <xdr:colOff>636492</xdr:colOff>
      <xdr:row>7</xdr:row>
      <xdr:rowOff>304800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2375646" y="165847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900-000013000000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27</xdr:row>
          <xdr:rowOff>0</xdr:rowOff>
        </xdr:from>
        <xdr:to>
          <xdr:col>4</xdr:col>
          <xdr:colOff>594360</xdr:colOff>
          <xdr:row>28</xdr:row>
          <xdr:rowOff>22860</xdr:rowOff>
        </xdr:to>
        <xdr:sp macro="" textlink="">
          <xdr:nvSpPr>
            <xdr:cNvPr id="50177" name="Drop Dow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121920</xdr:colOff>
      <xdr:row>26</xdr:row>
      <xdr:rowOff>160020</xdr:rowOff>
    </xdr:from>
    <xdr:to>
      <xdr:col>15</xdr:col>
      <xdr:colOff>297180</xdr:colOff>
      <xdr:row>43</xdr:row>
      <xdr:rowOff>34290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91440</xdr:colOff>
      <xdr:row>1</xdr:row>
      <xdr:rowOff>45720</xdr:rowOff>
    </xdr:from>
    <xdr:to>
      <xdr:col>14</xdr:col>
      <xdr:colOff>100404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101422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6" totalsRowShown="0">
  <autoFilter ref="B9:L16" xr:uid="{B4C8BFDF-03C3-4F90-AAB7-44373F6D6BB4}"/>
  <sortState xmlns:xlrd2="http://schemas.microsoft.com/office/spreadsheetml/2017/richdata2" ref="B10:L33">
    <sortCondition descending="1" ref="C9:C33"/>
  </sortState>
  <tableColumns count="11">
    <tableColumn id="1" xr3:uid="{5C06834C-86C8-4031-9419-A082F28FDEF7}" name="Nome do Cliente" dataDxfId="92"/>
    <tableColumn id="2" xr3:uid="{7DC79E4A-9857-430D-B3C3-D109BC62EED2}" name="Data de Atendimento" dataDxfId="91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90"/>
    <tableColumn id="7" xr3:uid="{623FA001-A20C-4B64-8457-1FEB5B23B39C}" name="Imóvel"/>
    <tableColumn id="15" xr3:uid="{63403B7B-5B03-4527-9D3E-03A600491064}" name="Característica do Imóvel" dataDxfId="89"/>
    <tableColumn id="8" xr3:uid="{2DDCCDD4-50CB-4950-AAB6-5A3452BEC8A8}" name="Tipo de Cliente"/>
    <tableColumn id="9" xr3:uid="{DB3FE6AE-E02E-4132-BB87-9F94A79F96AE}" name="Histórico" dataDxfId="88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83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82"/>
    <tableColumn id="7" xr3:uid="{5F4630EC-9669-4673-A207-C2922632EEA2}" name="Imóvel"/>
    <tableColumn id="12" xr3:uid="{9ECA9AD3-DF97-45C2-A46E-A8C9F47412FC}" name="Característica do Imóvel" dataDxfId="81"/>
    <tableColumn id="8" xr3:uid="{8A57D337-9C47-41F7-9F2D-00BCCFCA4DCA}" name="Tipo de Cliente"/>
    <tableColumn id="9" xr3:uid="{9AF6CB21-E0B7-431D-AE38-1BB1DADA5B2E}" name="Histórico" dataDxfId="8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75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74"/>
    <tableColumn id="7" xr3:uid="{C8C09B53-093A-4242-97C3-FA0BCEEC2623}" name="Imóvel"/>
    <tableColumn id="11" xr3:uid="{75A1ADFB-8B39-4472-BB5E-61588D9FCEAA}" name="Característica do Imóvel" dataDxfId="73"/>
    <tableColumn id="8" xr3:uid="{7EA82A25-78A6-4670-9830-3BAABB1F4335}" name="Tipo de Cliente"/>
    <tableColumn id="9" xr3:uid="{D9E4652C-A660-46FA-81D4-A42FEC885583}" name="Histórico" dataDxfId="72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67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66"/>
    <tableColumn id="7" xr3:uid="{3C3C756C-FB11-423E-B8FB-6B1291780DC1}" name="Imóvel"/>
    <tableColumn id="11" xr3:uid="{B1530A95-E8C0-4D0B-A13F-E26B9F42DD61}" name="Característica do Imóvel" dataDxfId="65"/>
    <tableColumn id="8" xr3:uid="{DC3BD80D-0F58-4C6E-944B-02B1C7786F4E}" name="Tipo de Cliente"/>
    <tableColumn id="9" xr3:uid="{BDFD947D-6944-4E77-8623-71CA4D0531F0}" name="Histórico" dataDxfId="64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5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58"/>
    <tableColumn id="7" xr3:uid="{33702C7C-37BE-49A8-9160-81E0A9B33CDE}" name="Imóvel"/>
    <tableColumn id="11" xr3:uid="{5464FEC2-2E22-4355-80FA-1203A2364E48}" name="Característica do Imóvel" dataDxfId="57"/>
    <tableColumn id="8" xr3:uid="{60252714-E834-4C2F-843A-FC53BAE9A0CF}" name="Tipo de Cliente"/>
    <tableColumn id="9" xr3:uid="{43B879F7-A222-490B-9EEC-0819B157948F}" name="Histórico" dataDxfId="56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51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50"/>
    <tableColumn id="7" xr3:uid="{52AB2001-1DBA-4AFC-BD82-DAFD386C39F7}" name="Imóvel"/>
    <tableColumn id="12" xr3:uid="{71A65764-54E6-4E41-B309-F5874AE9EFBA}" name="Característica do Imóvel" dataDxfId="49"/>
    <tableColumn id="8" xr3:uid="{9B6793FB-E4CD-4CD8-9191-7B36166AAF3B}" name="Tipo de Cliente"/>
    <tableColumn id="9" xr3:uid="{F334F7EE-9F66-429C-81ED-05EAF7CB7261}" name="Histórico" dataDxfId="48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43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42"/>
    <tableColumn id="7" xr3:uid="{9D83E79C-BE69-431E-BCBA-27A55809ABDC}" name="Imóvel"/>
    <tableColumn id="11" xr3:uid="{68C852D7-370F-4EC1-8A9B-1DA2CF2253E7}" name="Característica do Imóvel" dataDxfId="41"/>
    <tableColumn id="8" xr3:uid="{65B593A5-5553-4EBA-A236-0B73E6053721}" name="Tipo de Cliente"/>
    <tableColumn id="9" xr3:uid="{6ACC2296-2619-4DDA-8E72-10705DBBA486}" name="Histórico" dataDxfId="4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35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34"/>
    <tableColumn id="7" xr3:uid="{EBE5A09A-CE2F-434F-9ECF-47164D358BC6}" name="Imóvel"/>
    <tableColumn id="11" xr3:uid="{B69C1EA2-29F6-4FAF-8B2B-7DA702978B34}" name="Característica do Imóvel" dataDxfId="33"/>
    <tableColumn id="8" xr3:uid="{2C1AB730-684A-41D8-A661-617AF7D7355B}" name="Tipo de Cliente"/>
    <tableColumn id="9" xr3:uid="{C6D5640E-CB6D-4202-9F31-C59E1A923627}" name="Histórico" dataDxfId="32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27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26"/>
    <tableColumn id="7" xr3:uid="{E6A41927-B684-4962-B54C-0A6A8CBA817A}" name="Imóvel"/>
    <tableColumn id="11" xr3:uid="{ABB01AAF-1CB1-4154-83DB-3566CF501DC3}" name="Característica do Imóvel" dataDxfId="25"/>
    <tableColumn id="8" xr3:uid="{F8DF43BF-0D6B-4F87-93A7-092806C37996}" name="Tipo de Cliente"/>
    <tableColumn id="9" xr3:uid="{608CB6F9-24D2-400B-9660-6E8D0FB666D2}" name="Histórico" dataDxfId="24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19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8"/>
    <tableColumn id="7" xr3:uid="{9E423CC4-21A6-46FB-BF89-9ED69DED59A3}" name="Imóvel"/>
    <tableColumn id="11" xr3:uid="{AE158442-DE8F-43DE-A607-E879EB34B1C1}" name="Característica do Imóvel" dataDxfId="17"/>
    <tableColumn id="8" xr3:uid="{0565BD31-3706-404C-9C97-49EED3800F52}" name="Tipo de Cliente"/>
    <tableColumn id="9" xr3:uid="{5E8EA7F4-23CA-4E2F-A9D3-C35CF7E219BA}" name="Histórico" dataDxfId="16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11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10"/>
    <tableColumn id="7" xr3:uid="{6026CD79-C2F8-4B7F-B752-D4AC23459AB9}" name="Imóvel"/>
    <tableColumn id="11" xr3:uid="{3E0E1966-DB20-481A-BF25-7A0F6AC34375}" name="Característica do Imóvel" dataDxfId="9"/>
    <tableColumn id="8" xr3:uid="{ADA4ECCB-505B-4906-99F3-D50A34533503}" name="Tipo de Cliente"/>
    <tableColumn id="9" xr3:uid="{269B5205-93DB-4664-9910-6855B652B9A4}" name="Histórico" dataDxfId="8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3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2"/>
    <tableColumn id="7" xr3:uid="{43625F42-BC63-43D4-B2DB-401E879BF1CD}" name="Imóvel"/>
    <tableColumn id="11" xr3:uid="{D95DE417-EA6E-4267-B8FC-A42054597701}" name="Característica do Imóvel" dataDxfId="1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V39"/>
  <sheetViews>
    <sheetView showGridLines="0" showRowColHeaders="0" tabSelected="1" workbookViewId="0"/>
  </sheetViews>
  <sheetFormatPr defaultColWidth="0" defaultRowHeight="14.4" zeroHeight="1" x14ac:dyDescent="0.3"/>
  <cols>
    <col min="1" max="20" width="8.88671875" customWidth="1"/>
    <col min="21" max="22" width="0" hidden="1" customWidth="1"/>
    <col min="23" max="24" width="8.88671875" hidden="1" customWidth="1"/>
    <col min="25" max="16384" width="8.88671875" hidden="1"/>
  </cols>
  <sheetData>
    <row r="1" x14ac:dyDescent="0.3"/>
    <row r="2" ht="28.05" customHeight="1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0"/>
  <sheetViews>
    <sheetView showGridLines="0" showRowColHeaders="0" zoomScale="85" zoomScaleNormal="85" workbookViewId="0">
      <pane ySplit="2" topLeftCell="A3" activePane="bottomLeft" state="frozen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B10" s="1"/>
      <c r="C10" s="3"/>
      <c r="G10" s="8"/>
      <c r="I10" s="1"/>
      <c r="K10" s="1"/>
    </row>
    <row r="11" spans="2:12" ht="30" customHeight="1" x14ac:dyDescent="0.3">
      <c r="B11" s="1"/>
      <c r="C11" s="3"/>
      <c r="D11" s="4"/>
      <c r="G11" s="8"/>
      <c r="I11" s="1"/>
      <c r="K11" s="1"/>
    </row>
    <row r="12" spans="2:12" ht="30" customHeight="1" x14ac:dyDescent="0.3">
      <c r="B12" s="1"/>
      <c r="C12" s="3"/>
      <c r="D12" s="4"/>
      <c r="G12" s="8"/>
      <c r="I12" s="1"/>
      <c r="K12" s="1"/>
    </row>
    <row r="13" spans="2:12" ht="30" customHeight="1" x14ac:dyDescent="0.3">
      <c r="B13" s="1"/>
      <c r="C13" s="3"/>
      <c r="G13" s="8"/>
      <c r="I13" s="1"/>
      <c r="K13" s="1"/>
    </row>
    <row r="14" spans="2:12" ht="30" customHeight="1" x14ac:dyDescent="0.3">
      <c r="B14" s="1"/>
      <c r="C14" s="3"/>
      <c r="D14" s="4"/>
      <c r="G14" s="8"/>
      <c r="I14" s="1"/>
      <c r="K14" s="1"/>
    </row>
    <row r="15" spans="2:12" ht="30" customHeight="1" x14ac:dyDescent="0.3">
      <c r="B15" s="1"/>
      <c r="C15" s="3"/>
      <c r="D15" s="4"/>
      <c r="G15" s="8"/>
      <c r="I15" s="1"/>
      <c r="K15" s="1"/>
    </row>
    <row r="16" spans="2:12" ht="30" customHeight="1" x14ac:dyDescent="0.3">
      <c r="B16" s="1"/>
      <c r="C16" s="3"/>
      <c r="G16" s="8"/>
      <c r="I16" s="1"/>
      <c r="K16" s="1"/>
    </row>
    <row r="17" spans="3:11" ht="30" customHeight="1" x14ac:dyDescent="0.3">
      <c r="C17" s="3"/>
      <c r="G17" s="5"/>
      <c r="I17" s="1"/>
    </row>
    <row r="18" spans="3:11" ht="30" customHeight="1" x14ac:dyDescent="0.3">
      <c r="C18" s="3"/>
      <c r="G18" s="5"/>
      <c r="I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  <c r="K20" s="1"/>
    </row>
    <row r="21" spans="3:11" ht="30" customHeight="1" x14ac:dyDescent="0.3">
      <c r="C21" s="3"/>
      <c r="G21" s="5"/>
      <c r="I21" s="1"/>
      <c r="K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2"/>
      <c r="K26" s="2"/>
    </row>
    <row r="27" spans="3:11" ht="30" customHeight="1" x14ac:dyDescent="0.3">
      <c r="C27" s="3"/>
      <c r="G27" s="5"/>
      <c r="I27" s="2"/>
      <c r="K27" s="2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I34" s="2"/>
      <c r="K34" s="2"/>
    </row>
    <row r="35" spans="3:11" ht="30" customHeight="1" x14ac:dyDescent="0.3">
      <c r="C35" s="3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</sheetData>
  <conditionalFormatting sqref="L10:M10 M11:M18 L11:L12 L16">
    <cfRule type="cellIs" dxfId="100" priority="7" stopIfTrue="1" operator="equal">
      <formula>"Não comprou"</formula>
    </cfRule>
    <cfRule type="cellIs" dxfId="99" priority="8" stopIfTrue="1" operator="equal">
      <formula>"Comprou"</formula>
    </cfRule>
  </conditionalFormatting>
  <conditionalFormatting sqref="J10:J12 J16">
    <cfRule type="cellIs" dxfId="98" priority="5" operator="equal">
      <formula>"Frio"</formula>
    </cfRule>
    <cfRule type="cellIs" dxfId="97" priority="6" stopIfTrue="1" operator="equal">
      <formula>"Potencial"</formula>
    </cfRule>
  </conditionalFormatting>
  <conditionalFormatting sqref="L13:L15">
    <cfRule type="cellIs" dxfId="96" priority="3" stopIfTrue="1" operator="equal">
      <formula>"Não comprou"</formula>
    </cfRule>
    <cfRule type="cellIs" dxfId="95" priority="4" stopIfTrue="1" operator="equal">
      <formula>"Comprou"</formula>
    </cfRule>
  </conditionalFormatting>
  <conditionalFormatting sqref="J13:J15">
    <cfRule type="cellIs" dxfId="94" priority="1" operator="equal">
      <formula>"Frio"</formula>
    </cfRule>
    <cfRule type="cellIs" dxfId="93" priority="2" stopIfTrue="1" operator="equal">
      <formula>"Potencial"</formula>
    </cfRule>
  </conditionalFormatting>
  <dataValidations count="3">
    <dataValidation type="list" allowBlank="1" showInputMessage="1" showErrorMessage="1" sqref="L10:M10 M11:M18 L11:L16" xr:uid="{2189D3E9-1EF6-4A72-BB01-9FFC3FB241AB}">
      <formula1>"Comprou, Não comprou"</formula1>
    </dataValidation>
    <dataValidation type="list" allowBlank="1" showInputMessage="1" showErrorMessage="1" sqref="H10:H16" xr:uid="{2A1099D9-1002-4197-A4E0-99FB610CA97D}">
      <formula1>"Lançamento, Usado"</formula1>
    </dataValidation>
    <dataValidation type="list" allowBlank="1" showInputMessage="1" showErrorMessage="1" sqref="J10:J16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D15" s="4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87" priority="4" stopIfTrue="1" operator="equal">
      <formula>"Não comprou"</formula>
    </cfRule>
    <cfRule type="cellIs" dxfId="86" priority="5" stopIfTrue="1" operator="equal">
      <formula>"Comprou"</formula>
    </cfRule>
  </conditionalFormatting>
  <conditionalFormatting sqref="J10:J18">
    <cfRule type="cellIs" dxfId="85" priority="1" operator="equal">
      <formula>"Frio"</formula>
    </cfRule>
    <cfRule type="cellIs" dxfId="84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79" priority="4" stopIfTrue="1" operator="equal">
      <formula>"Não comprou"</formula>
    </cfRule>
    <cfRule type="cellIs" dxfId="78" priority="5" stopIfTrue="1" operator="equal">
      <formula>"Comprou"</formula>
    </cfRule>
  </conditionalFormatting>
  <conditionalFormatting sqref="J10:J18">
    <cfRule type="cellIs" dxfId="77" priority="1" operator="equal">
      <formula>"Frio"</formula>
    </cfRule>
    <cfRule type="cellIs" dxfId="76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G10" s="8"/>
      <c r="I10" s="1"/>
      <c r="K10" s="1"/>
    </row>
    <row r="11" spans="2:12" ht="30" customHeight="1" x14ac:dyDescent="0.3">
      <c r="C11" s="3"/>
      <c r="D11" s="26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1" priority="4" stopIfTrue="1" operator="equal">
      <formula>"Não comprou"</formula>
    </cfRule>
    <cfRule type="cellIs" dxfId="70" priority="5" stopIfTrue="1" operator="equal">
      <formula>"Comprou"</formula>
    </cfRule>
  </conditionalFormatting>
  <conditionalFormatting sqref="J10:J18">
    <cfRule type="cellIs" dxfId="69" priority="1" operator="equal">
      <formula>"Frio"</formula>
    </cfRule>
    <cfRule type="cellIs" dxfId="68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63" priority="3" stopIfTrue="1" operator="equal">
      <formula>"Não comprou"</formula>
    </cfRule>
    <cfRule type="cellIs" dxfId="62" priority="4" stopIfTrue="1" operator="equal">
      <formula>"Comprou"</formula>
    </cfRule>
  </conditionalFormatting>
  <conditionalFormatting sqref="J10:J18">
    <cfRule type="cellIs" dxfId="61" priority="1" operator="equal">
      <formula>"Frio"</formula>
    </cfRule>
    <cfRule type="cellIs" dxfId="60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55" priority="3" stopIfTrue="1" operator="equal">
      <formula>"Não comprou"</formula>
    </cfRule>
    <cfRule type="cellIs" dxfId="54" priority="4" stopIfTrue="1" operator="equal">
      <formula>"Comprou"</formula>
    </cfRule>
  </conditionalFormatting>
  <conditionalFormatting sqref="J10:J18">
    <cfRule type="cellIs" dxfId="53" priority="1" operator="equal">
      <formula>"Frio"</formula>
    </cfRule>
    <cfRule type="cellIs" dxfId="52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7" priority="4" stopIfTrue="1" operator="equal">
      <formula>"Não comprou"</formula>
    </cfRule>
    <cfRule type="cellIs" dxfId="46" priority="5" stopIfTrue="1" operator="equal">
      <formula>"Comprou"</formula>
    </cfRule>
  </conditionalFormatting>
  <conditionalFormatting sqref="J10:J18">
    <cfRule type="cellIs" dxfId="45" priority="1" operator="equal">
      <formula>"Frio"</formula>
    </cfRule>
    <cfRule type="cellIs" dxfId="44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9" priority="3" stopIfTrue="1" operator="equal">
      <formula>"Não comprou"</formula>
    </cfRule>
    <cfRule type="cellIs" dxfId="38" priority="4" stopIfTrue="1" operator="equal">
      <formula>"Comprou"</formula>
    </cfRule>
  </conditionalFormatting>
  <conditionalFormatting sqref="J10:J18">
    <cfRule type="cellIs" dxfId="37" priority="1" operator="equal">
      <formula>"Frio"</formula>
    </cfRule>
    <cfRule type="cellIs" dxfId="36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1" priority="3" stopIfTrue="1" operator="equal">
      <formula>"Não comprou"</formula>
    </cfRule>
    <cfRule type="cellIs" dxfId="30" priority="4" stopIfTrue="1" operator="equal">
      <formula>"Comprou"</formula>
    </cfRule>
  </conditionalFormatting>
  <conditionalFormatting sqref="J10:J18">
    <cfRule type="cellIs" dxfId="29" priority="1" operator="equal">
      <formula>"Frio"</formula>
    </cfRule>
    <cfRule type="cellIs" dxfId="28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3" priority="3" stopIfTrue="1" operator="equal">
      <formula>"Não comprou"</formula>
    </cfRule>
    <cfRule type="cellIs" dxfId="22" priority="4" stopIfTrue="1" operator="equal">
      <formula>"Comprou"</formula>
    </cfRule>
  </conditionalFormatting>
  <conditionalFormatting sqref="J10:J18">
    <cfRule type="cellIs" dxfId="21" priority="1" operator="equal">
      <formula>"Frio"</formula>
    </cfRule>
    <cfRule type="cellIs" dxfId="20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5" priority="3" stopIfTrue="1" operator="equal">
      <formula>"Não comprou"</formula>
    </cfRule>
    <cfRule type="cellIs" dxfId="14" priority="4" stopIfTrue="1" operator="equal">
      <formula>"Comprou"</formula>
    </cfRule>
  </conditionalFormatting>
  <conditionalFormatting sqref="J10:J18">
    <cfRule type="cellIs" dxfId="13" priority="1" operator="equal">
      <formula>"Frio"</formula>
    </cfRule>
    <cfRule type="cellIs" dxfId="12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" priority="3" stopIfTrue="1" operator="equal">
      <formula>"Não comprou"</formula>
    </cfRule>
    <cfRule type="cellIs" dxfId="6" priority="4" stopIfTrue="1" operator="equal">
      <formula>"Comprou"</formula>
    </cfRule>
  </conditionalFormatting>
  <conditionalFormatting sqref="J10:J18">
    <cfRule type="cellIs" dxfId="5" priority="1" operator="equal">
      <formula>"Frio"</formula>
    </cfRule>
    <cfRule type="cellIs" dxfId="4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workbookViewId="0">
      <selection activeCell="A9" sqref="A9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54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57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C0E74-31CC-4BDA-9EEC-7E55C72A9EE3}">
  <sheetPr codeName="Planilha29"/>
  <dimension ref="B1:S47"/>
  <sheetViews>
    <sheetView showGridLines="0" showRowColHeaders="0" workbookViewId="0"/>
  </sheetViews>
  <sheetFormatPr defaultColWidth="0" defaultRowHeight="14.4" zeroHeight="1" x14ac:dyDescent="0.3"/>
  <cols>
    <col min="1" max="3" width="8.88671875" customWidth="1"/>
    <col min="4" max="4" width="48.77734375" bestFit="1" customWidth="1"/>
    <col min="5" max="17" width="8.88671875" customWidth="1"/>
    <col min="18" max="18" width="8.88671875" hidden="1"/>
    <col min="19" max="19" width="48.77734375" hidden="1"/>
    <col min="20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ht="18" x14ac:dyDescent="0.35">
      <c r="C15" s="18"/>
      <c r="D15" s="2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ht="18" x14ac:dyDescent="0.35">
      <c r="C16" s="18"/>
      <c r="D16" s="2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ht="18" x14ac:dyDescent="0.35">
      <c r="C17" s="18"/>
      <c r="D17" s="2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ht="18" x14ac:dyDescent="0.35">
      <c r="C18" s="18"/>
      <c r="D18" s="2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ht="18" x14ac:dyDescent="0.35">
      <c r="C19" s="18"/>
      <c r="D19" s="2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8" x14ac:dyDescent="0.35">
      <c r="C20" s="18"/>
      <c r="D20" s="2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8" x14ac:dyDescent="0.35">
      <c r="D24" s="24"/>
    </row>
    <row r="25" spans="3:16" ht="18.600000000000001" thickBot="1" x14ac:dyDescent="0.4">
      <c r="D25" s="24"/>
    </row>
    <row r="26" spans="3:16" ht="18" x14ac:dyDescent="0.35">
      <c r="C26" s="16"/>
      <c r="D26" s="2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7"/>
    </row>
    <row r="27" spans="3:16" ht="18" x14ac:dyDescent="0.35">
      <c r="C27" s="18"/>
      <c r="D27" s="2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2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2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1" t="s">
        <v>13</v>
      </c>
      <c r="E30" s="11">
        <f>INDEX(cálculos!$F$30:$Q$46,cálculos!$J$13,cálculos!K$11)</f>
        <v>0</v>
      </c>
      <c r="P30" s="19"/>
    </row>
    <row r="31" spans="3:16" ht="18" x14ac:dyDescent="0.35">
      <c r="C31" s="18"/>
      <c r="D31" s="12" t="s">
        <v>25</v>
      </c>
      <c r="E31" s="12">
        <f>INDEX(cálculos!$F$30:$Q$46,cálculos!$J$13,cálculos!L$11)</f>
        <v>0</v>
      </c>
      <c r="P31" s="19"/>
    </row>
    <row r="32" spans="3:16" ht="18" x14ac:dyDescent="0.35">
      <c r="C32" s="18"/>
      <c r="D32" s="12" t="s">
        <v>26</v>
      </c>
      <c r="E32" s="12">
        <f>INDEX(cálculos!$F$30:$Q$46,cálculos!$J$13,cálculos!M$11)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28</v>
      </c>
      <c r="E33" s="12">
        <f>INDEX(cálculos!$F$30:$Q$46,cálculos!$J$13,cálculos!N$11)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30</v>
      </c>
      <c r="E34" s="12">
        <f>INDEX(cálculos!$F$30:$Q$46,cálculos!$J$13,cálculos!O$11)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32</v>
      </c>
      <c r="E35" s="12">
        <f>INDEX(cálculos!$F$30:$Q$46,cálculos!$J$13,cálculos!P$11)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34</v>
      </c>
      <c r="E36" s="12">
        <f>INDEX(cálculos!$F$30:$Q$46,cálculos!$J$13,cálculos!Q$11)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36</v>
      </c>
      <c r="E37" s="12">
        <f>INDEX(cálculos!$F$30:$Q$46,cálculos!$J$13,cálculos!R$11)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38</v>
      </c>
      <c r="E38" s="12">
        <f>INDEX(cálculos!$F$30:$Q$46,cálculos!$J$13,cálculos!S$11)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2" t="s">
        <v>40</v>
      </c>
      <c r="E39" s="12">
        <f>INDEX(cálculos!$F$30:$Q$46,cálculos!$J$13,cálculos!T$11)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42</v>
      </c>
      <c r="E40" s="13">
        <f>INDEX(cálculos!$F$30:$Q$46,cálculos!$J$13,cálculos!U$11)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8" x14ac:dyDescent="0.35">
      <c r="C41" s="18"/>
      <c r="D41" s="13" t="s">
        <v>44</v>
      </c>
      <c r="E41" s="13">
        <f>INDEX(cálculos!$F$30:$Q$46,cálculos!$J$13,cálculos!V$11)</f>
        <v>0</v>
      </c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x14ac:dyDescent="0.3">
      <c r="C42" s="1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9"/>
    </row>
    <row r="43" spans="3:16" x14ac:dyDescent="0.3">
      <c r="C43" s="1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9"/>
    </row>
    <row r="44" spans="3:16" x14ac:dyDescent="0.3">
      <c r="C44" s="18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9"/>
    </row>
    <row r="45" spans="3:16" ht="15" thickBot="1" x14ac:dyDescent="0.35">
      <c r="C45" s="20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21"/>
    </row>
    <row r="46" spans="3:16" x14ac:dyDescent="0.3"/>
    <row r="47" spans="3:16" x14ac:dyDescent="0.3"/>
  </sheetData>
  <pageMargins left="0.511811024" right="0.511811024" top="0.78740157499999996" bottom="0.78740157499999996" header="0.31496062000000002" footer="0.31496062000000002"/>
  <ignoredErrors>
    <ignoredError sqref="E3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Drop Down 1">
              <controlPr defaultSize="0" autoLine="0" autoPict="0">
                <anchor moveWithCells="1">
                  <from>
                    <xdr:col>2</xdr:col>
                    <xdr:colOff>594360</xdr:colOff>
                    <xdr:row>27</xdr:row>
                    <xdr:rowOff>0</xdr:rowOff>
                  </from>
                  <to>
                    <xdr:col>4</xdr:col>
                    <xdr:colOff>594360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V46"/>
  <sheetViews>
    <sheetView topLeftCell="B6" workbookViewId="0">
      <selection activeCell="G19" sqref="G19"/>
    </sheetView>
  </sheetViews>
  <sheetFormatPr defaultRowHeight="14.4" x14ac:dyDescent="0.3"/>
  <cols>
    <col min="5" max="5" width="48.77734375" bestFit="1" customWidth="1"/>
  </cols>
  <sheetData>
    <row r="4" spans="2:22" x14ac:dyDescent="0.3">
      <c r="B4" t="s">
        <v>14</v>
      </c>
    </row>
    <row r="5" spans="2:22" x14ac:dyDescent="0.3">
      <c r="B5" t="s">
        <v>12</v>
      </c>
    </row>
    <row r="6" spans="2:22" ht="18" x14ac:dyDescent="0.35">
      <c r="F6" s="24" t="s">
        <v>46</v>
      </c>
    </row>
    <row r="7" spans="2:22" ht="18" x14ac:dyDescent="0.35">
      <c r="B7" t="s">
        <v>10</v>
      </c>
      <c r="F7" s="24" t="s">
        <v>47</v>
      </c>
    </row>
    <row r="8" spans="2:22" ht="18" x14ac:dyDescent="0.35">
      <c r="B8" t="s">
        <v>15</v>
      </c>
      <c r="F8" s="24" t="s">
        <v>48</v>
      </c>
    </row>
    <row r="9" spans="2:22" ht="18" x14ac:dyDescent="0.35">
      <c r="F9" s="24" t="s">
        <v>54</v>
      </c>
    </row>
    <row r="10" spans="2:22" ht="18" x14ac:dyDescent="0.35">
      <c r="B10" t="s">
        <v>16</v>
      </c>
      <c r="F10" s="24" t="s">
        <v>57</v>
      </c>
    </row>
    <row r="11" spans="2:22" ht="18" x14ac:dyDescent="0.35">
      <c r="B11" t="s">
        <v>11</v>
      </c>
      <c r="F11" s="24" t="s">
        <v>49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Q11">
        <v>7</v>
      </c>
      <c r="R11">
        <v>8</v>
      </c>
      <c r="S11">
        <v>9</v>
      </c>
      <c r="T11">
        <v>10</v>
      </c>
      <c r="U11">
        <v>11</v>
      </c>
      <c r="V11">
        <v>12</v>
      </c>
    </row>
    <row r="12" spans="2:22" ht="18" x14ac:dyDescent="0.35">
      <c r="B12" t="s">
        <v>56</v>
      </c>
      <c r="K12" s="11" t="s">
        <v>13</v>
      </c>
      <c r="L12" s="12" t="s">
        <v>25</v>
      </c>
      <c r="M12" s="12" t="s">
        <v>26</v>
      </c>
      <c r="N12" s="12" t="s">
        <v>28</v>
      </c>
      <c r="O12" s="12" t="s">
        <v>30</v>
      </c>
      <c r="P12" s="12" t="s">
        <v>32</v>
      </c>
      <c r="Q12" s="12" t="s">
        <v>34</v>
      </c>
      <c r="R12" s="12" t="s">
        <v>36</v>
      </c>
      <c r="S12" s="12" t="s">
        <v>38</v>
      </c>
      <c r="T12" s="12" t="s">
        <v>40</v>
      </c>
      <c r="U12" s="13" t="s">
        <v>42</v>
      </c>
      <c r="V12" s="13" t="s">
        <v>44</v>
      </c>
    </row>
    <row r="13" spans="2:22" x14ac:dyDescent="0.3">
      <c r="E13">
        <v>1</v>
      </c>
      <c r="F13" t="str">
        <f>INDEX(F6:F11,E13)</f>
        <v>Quantidade de Visitas por Mês</v>
      </c>
      <c r="J13">
        <f>MATCH(F13,E30:E46,0)</f>
        <v>2</v>
      </c>
      <c r="K13">
        <f>INDEX($F$30:$Q$46,$J13,K$11)</f>
        <v>0</v>
      </c>
      <c r="L13">
        <f t="shared" ref="L13:V13" si="0">INDEX($F$30:$Q$46,$J13,L$11)</f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>
        <f t="shared" si="0"/>
        <v>0</v>
      </c>
      <c r="T13">
        <f t="shared" si="0"/>
        <v>0</v>
      </c>
      <c r="U13">
        <f t="shared" si="0"/>
        <v>0</v>
      </c>
      <c r="V13">
        <f t="shared" si="0"/>
        <v>0</v>
      </c>
    </row>
    <row r="30" spans="5:17" ht="18" x14ac:dyDescent="0.35">
      <c r="F30" s="11" t="s">
        <v>13</v>
      </c>
      <c r="G30" s="12" t="s">
        <v>25</v>
      </c>
      <c r="H30" s="12" t="s">
        <v>26</v>
      </c>
      <c r="I30" s="12" t="s">
        <v>28</v>
      </c>
      <c r="J30" s="12" t="s">
        <v>30</v>
      </c>
      <c r="K30" s="12" t="s">
        <v>32</v>
      </c>
      <c r="L30" s="12" t="s">
        <v>34</v>
      </c>
      <c r="M30" s="12" t="s">
        <v>36</v>
      </c>
      <c r="N30" s="12" t="s">
        <v>38</v>
      </c>
      <c r="O30" s="12" t="s">
        <v>40</v>
      </c>
      <c r="P30" s="13" t="s">
        <v>42</v>
      </c>
      <c r="Q30" s="13" t="s">
        <v>44</v>
      </c>
    </row>
    <row r="31" spans="5:17" ht="18" x14ac:dyDescent="0.35">
      <c r="E31" s="24" t="s">
        <v>46</v>
      </c>
      <c r="F31" s="22">
        <f>COUNTIF(Tabela1[Visita],"&gt;0")</f>
        <v>0</v>
      </c>
      <c r="G31" s="23">
        <f>COUNTIF(Tabela112[Visita],"&gt;0")</f>
        <v>0</v>
      </c>
      <c r="H31" s="12">
        <f>COUNTIF(Tabela11213[Visita],"&gt;0")</f>
        <v>0</v>
      </c>
      <c r="I31" s="12">
        <f>COUNTIF(Tabela1121314[Visita],"&gt;0")</f>
        <v>0</v>
      </c>
      <c r="J31" s="23">
        <f>COUNTIF(Tabela112131415[Visita],"&gt;0")</f>
        <v>0</v>
      </c>
      <c r="K31" s="23">
        <f>COUNTIF(Tabela11213141516[Visita],"&gt;0")</f>
        <v>0</v>
      </c>
      <c r="L31" s="12">
        <f>COUNTIF(Tabela1121314151617[Visita],"&gt;0")</f>
        <v>0</v>
      </c>
      <c r="M31" s="12">
        <f>COUNTIF(Tabela112131415161718[Visita],"&gt;0")</f>
        <v>0</v>
      </c>
      <c r="N31" s="23">
        <f>COUNTIF(Tabela11213141516171819[Visita],"&gt;0")</f>
        <v>0</v>
      </c>
      <c r="O31" s="23">
        <f>COUNTIF(Tabela1121314151617181920[Visita],"&gt;0")</f>
        <v>0</v>
      </c>
      <c r="P31" s="12">
        <f>COUNTIF(Tabela112131415161718192021[Visita],"&gt;0")</f>
        <v>0</v>
      </c>
      <c r="Q31" s="13">
        <f>COUNTIF(Tabela11213141516171819202122[Visita],"&gt;0")</f>
        <v>0</v>
      </c>
    </row>
    <row r="33" spans="5:17" ht="18" x14ac:dyDescent="0.35">
      <c r="F33" s="11" t="s">
        <v>13</v>
      </c>
      <c r="G33" s="12" t="s">
        <v>25</v>
      </c>
      <c r="H33" s="12" t="s">
        <v>26</v>
      </c>
      <c r="I33" s="12" t="s">
        <v>28</v>
      </c>
      <c r="J33" s="12" t="s">
        <v>30</v>
      </c>
      <c r="K33" s="12" t="s">
        <v>32</v>
      </c>
      <c r="L33" s="12" t="s">
        <v>34</v>
      </c>
      <c r="M33" s="12" t="s">
        <v>36</v>
      </c>
      <c r="N33" s="12" t="s">
        <v>38</v>
      </c>
      <c r="O33" s="12" t="s">
        <v>40</v>
      </c>
      <c r="P33" s="13" t="s">
        <v>42</v>
      </c>
      <c r="Q33" s="13" t="s">
        <v>44</v>
      </c>
    </row>
    <row r="34" spans="5:17" ht="18" x14ac:dyDescent="0.35">
      <c r="E34" s="24" t="s">
        <v>47</v>
      </c>
      <c r="F34" s="22">
        <f>COUNTIF(Tabela1[Data de Atendimento],"&gt;0")</f>
        <v>0</v>
      </c>
      <c r="G34" s="23">
        <f>COUNTIF(Tabela112[Data de Atendimento],"&gt;0")</f>
        <v>0</v>
      </c>
      <c r="H34" s="12">
        <f>COUNTIF(Tabela11213[Data de Atendimento],"&gt;0")</f>
        <v>0</v>
      </c>
      <c r="I34" s="12">
        <f>COUNTIF(Tabela1121314[Data de Atendimento],"&gt;0")</f>
        <v>0</v>
      </c>
      <c r="J34" s="23">
        <f>COUNTIF(Tabela112131415[Data de Atendimento],"&gt;0")</f>
        <v>0</v>
      </c>
      <c r="K34" s="23">
        <f>COUNTIF(Tabela11213141516[Data de Atendimento],"&gt;0")</f>
        <v>0</v>
      </c>
      <c r="L34" s="12">
        <f>COUNTIF(Tabela1121314151617[Data de Atendimento],"&gt;0")</f>
        <v>0</v>
      </c>
      <c r="M34" s="12">
        <f>COUNTIF(Tabela112131415161718[Data de Atendimento],"&gt;0")</f>
        <v>0</v>
      </c>
      <c r="N34" s="23">
        <f>COUNTIF(Tabela11213141516171819[Data de Atendimento],"&gt;0")</f>
        <v>0</v>
      </c>
      <c r="O34" s="23">
        <f>COUNTIF(Tabela1121314151617181920[Data de Atendimento],"&gt;0")</f>
        <v>0</v>
      </c>
      <c r="P34" s="12">
        <f>COUNTIF(Tabela112131415161718192021[Data de Atendimento],"&gt;0")</f>
        <v>0</v>
      </c>
      <c r="Q34" s="13">
        <f>COUNTIF(Tabela11213141516171819202122[Data de Atendimento],"&gt;0")</f>
        <v>0</v>
      </c>
    </row>
    <row r="36" spans="5:17" ht="18" x14ac:dyDescent="0.35">
      <c r="F36" s="11" t="s">
        <v>13</v>
      </c>
      <c r="G36" s="12" t="s">
        <v>25</v>
      </c>
      <c r="H36" s="12" t="s">
        <v>26</v>
      </c>
      <c r="I36" s="12" t="s">
        <v>28</v>
      </c>
      <c r="J36" s="12" t="s">
        <v>30</v>
      </c>
      <c r="K36" s="12" t="s">
        <v>32</v>
      </c>
      <c r="L36" s="12" t="s">
        <v>34</v>
      </c>
      <c r="M36" s="12" t="s">
        <v>36</v>
      </c>
      <c r="N36" s="12" t="s">
        <v>38</v>
      </c>
      <c r="O36" s="12" t="s">
        <v>40</v>
      </c>
      <c r="P36" s="13" t="s">
        <v>42</v>
      </c>
      <c r="Q36" s="13" t="s">
        <v>44</v>
      </c>
    </row>
    <row r="37" spans="5:17" ht="18" x14ac:dyDescent="0.35">
      <c r="E37" s="24" t="s">
        <v>48</v>
      </c>
      <c r="F37" s="22">
        <f>COUNTIF(Tabela1[Tipo de Cliente],cálculos!$B$10)</f>
        <v>0</v>
      </c>
      <c r="G37" s="23">
        <f>COUNTIF(Tabela112[Tipo de Cliente],cálculos!$B$10)</f>
        <v>0</v>
      </c>
      <c r="H37" s="12">
        <f>COUNTIF(Tabela11213[Tipo de Cliente],cálculos!$B$10)</f>
        <v>0</v>
      </c>
      <c r="I37" s="12">
        <f>COUNTIF(Tabela1121314[Tipo de Cliente],cálculos!$B$10)</f>
        <v>0</v>
      </c>
      <c r="J37" s="23">
        <f>COUNTIF(Tabela112131415[Tipo de Cliente],cálculos!$B$10)</f>
        <v>0</v>
      </c>
      <c r="K37" s="23">
        <f>COUNTIF(Tabela11213141516[Tipo de Cliente],cálculos!$B$10)</f>
        <v>0</v>
      </c>
      <c r="L37" s="12">
        <f>COUNTIF(Tabela1121314151617[Tipo de Cliente],cálculos!$B$10)</f>
        <v>0</v>
      </c>
      <c r="M37" s="12">
        <f>COUNTIF(Tabela112131415161718[Tipo de Cliente],cálculos!$B$10)</f>
        <v>0</v>
      </c>
      <c r="N37" s="23">
        <f>COUNTIF(Tabela11213141516171819[Tipo de Cliente],cálculos!$B$10)</f>
        <v>0</v>
      </c>
      <c r="O37" s="23">
        <f>COUNTIF(Tabela1121314151617181920[Tipo de Cliente],cálculos!$B$10)</f>
        <v>0</v>
      </c>
      <c r="P37" s="12">
        <f>COUNTIF(Tabela112131415161718192021[Tipo de Cliente],cálculos!$B$10)</f>
        <v>0</v>
      </c>
      <c r="Q37" s="13">
        <f>COUNTIF(Tabela11213141516171819202122[Tipo de Cliente],cálculos!$B$10)</f>
        <v>0</v>
      </c>
    </row>
    <row r="39" spans="5:17" ht="18" x14ac:dyDescent="0.35">
      <c r="F39" s="11" t="s">
        <v>13</v>
      </c>
      <c r="G39" s="12" t="s">
        <v>25</v>
      </c>
      <c r="H39" s="12" t="s">
        <v>26</v>
      </c>
      <c r="I39" s="12" t="s">
        <v>28</v>
      </c>
      <c r="J39" s="12" t="s">
        <v>30</v>
      </c>
      <c r="K39" s="12" t="s">
        <v>32</v>
      </c>
      <c r="L39" s="12" t="s">
        <v>34</v>
      </c>
      <c r="M39" s="12" t="s">
        <v>36</v>
      </c>
      <c r="N39" s="12" t="s">
        <v>38</v>
      </c>
      <c r="O39" s="12" t="s">
        <v>40</v>
      </c>
      <c r="P39" s="13" t="s">
        <v>42</v>
      </c>
      <c r="Q39" s="13" t="s">
        <v>44</v>
      </c>
    </row>
    <row r="40" spans="5:17" ht="18" x14ac:dyDescent="0.35">
      <c r="E40" s="24" t="s">
        <v>54</v>
      </c>
      <c r="F40" s="22">
        <f>COUNTIF(Tabela1[Tipo de Cliente],cálculos!$B$11)</f>
        <v>0</v>
      </c>
      <c r="G40" s="23">
        <f>COUNTIF(Tabela112[Tipo de Cliente],cálculos!$B$11)</f>
        <v>0</v>
      </c>
      <c r="H40" s="12">
        <f>COUNTIF(Tabela11213[Tipo de Cliente],cálculos!$B$11)</f>
        <v>0</v>
      </c>
      <c r="I40" s="12">
        <f>COUNTIF(Tabela1121314[Tipo de Cliente],cálculos!$B$11)</f>
        <v>0</v>
      </c>
      <c r="J40" s="23">
        <f>COUNTIF(Tabela112131415[Tipo de Cliente],cálculos!$B$11)</f>
        <v>0</v>
      </c>
      <c r="K40" s="23">
        <f>COUNTIF(Tabela11213141516[Tipo de Cliente],cálculos!$B$11)</f>
        <v>0</v>
      </c>
      <c r="L40" s="12">
        <f>COUNTIF(Tabela1121314151617[Tipo de Cliente],cálculos!$B$11)</f>
        <v>0</v>
      </c>
      <c r="M40" s="12">
        <f>COUNTIF(Tabela112131415161718[Tipo de Cliente],cálculos!$B$11)</f>
        <v>0</v>
      </c>
      <c r="N40" s="23">
        <f>COUNTIF(Tabela11213141516171819[Tipo de Cliente],cálculos!$B$11)</f>
        <v>0</v>
      </c>
      <c r="O40" s="23">
        <f>COUNTIF(Tabela1121314151617181920[Tipo de Cliente],cálculos!$B$11)</f>
        <v>0</v>
      </c>
      <c r="P40" s="12">
        <f>COUNTIF(Tabela112131415161718192021[Tipo de Cliente],cálculos!$B$11)</f>
        <v>0</v>
      </c>
      <c r="Q40" s="13">
        <f>COUNTIF(Tabela11213141516171819202122[Tipo de Cliente],cálculos!$B$11)</f>
        <v>0</v>
      </c>
    </row>
    <row r="42" spans="5:17" ht="18" x14ac:dyDescent="0.35">
      <c r="F42" s="11" t="s">
        <v>13</v>
      </c>
      <c r="G42" s="12" t="s">
        <v>25</v>
      </c>
      <c r="H42" s="12" t="s">
        <v>26</v>
      </c>
      <c r="I42" s="12" t="s">
        <v>28</v>
      </c>
      <c r="J42" s="12" t="s">
        <v>30</v>
      </c>
      <c r="K42" s="12" t="s">
        <v>32</v>
      </c>
      <c r="L42" s="12" t="s">
        <v>34</v>
      </c>
      <c r="M42" s="12" t="s">
        <v>36</v>
      </c>
      <c r="N42" s="12" t="s">
        <v>38</v>
      </c>
      <c r="O42" s="12" t="s">
        <v>40</v>
      </c>
      <c r="P42" s="13" t="s">
        <v>42</v>
      </c>
      <c r="Q42" s="13" t="s">
        <v>44</v>
      </c>
    </row>
    <row r="43" spans="5:17" ht="18" x14ac:dyDescent="0.35">
      <c r="E43" s="24" t="s">
        <v>57</v>
      </c>
      <c r="F43" s="22">
        <f>COUNTIF(Tabela1[Tipo de Cliente],cálculos!$B$12)</f>
        <v>0</v>
      </c>
      <c r="G43" s="23">
        <f>COUNTIF(Tabela112[Tipo de Cliente],cálculos!$B$12)</f>
        <v>0</v>
      </c>
      <c r="H43" s="12">
        <f>COUNTIF(Tabela11213[Tipo de Cliente],cálculos!$B$12)</f>
        <v>0</v>
      </c>
      <c r="I43" s="12">
        <f>COUNTIF(Tabela1121314[Tipo de Cliente],cálculos!$B$12)</f>
        <v>0</v>
      </c>
      <c r="J43" s="23">
        <f>COUNTIF(Tabela112131415[Tipo de Cliente],cálculos!$B$12)</f>
        <v>0</v>
      </c>
      <c r="K43" s="23">
        <f>COUNTIF(Tabela11213141516[Tipo de Cliente],cálculos!$B$12)</f>
        <v>0</v>
      </c>
      <c r="L43" s="12">
        <f>COUNTIF(Tabela1121314151617[Tipo de Cliente],cálculos!$B$12)</f>
        <v>0</v>
      </c>
      <c r="M43" s="12">
        <f>COUNTIF(Tabela112131415161718[Tipo de Cliente],cálculos!$B$12)</f>
        <v>0</v>
      </c>
      <c r="N43" s="23">
        <f>COUNTIF(Tabela11213141516171819[Tipo de Cliente],cálculos!$B$12)</f>
        <v>0</v>
      </c>
      <c r="O43" s="23">
        <f>COUNTIF(Tabela1121314151617181920[Tipo de Cliente],cálculos!$B$12)</f>
        <v>0</v>
      </c>
      <c r="P43" s="12">
        <f>COUNTIF(Tabela112131415161718192021[Tipo de Cliente],cálculos!$B$12)</f>
        <v>0</v>
      </c>
      <c r="Q43" s="13">
        <f>COUNTIF(Tabela11213141516171819202122[Tipo de Cliente],cálculos!$B$12)</f>
        <v>0</v>
      </c>
    </row>
    <row r="45" spans="5:17" ht="18" x14ac:dyDescent="0.35">
      <c r="F45" s="11" t="s">
        <v>13</v>
      </c>
      <c r="G45" s="12" t="s">
        <v>25</v>
      </c>
      <c r="H45" s="12" t="s">
        <v>26</v>
      </c>
      <c r="I45" s="12" t="s">
        <v>28</v>
      </c>
      <c r="J45" s="12" t="s">
        <v>30</v>
      </c>
      <c r="K45" s="12" t="s">
        <v>32</v>
      </c>
      <c r="L45" s="12" t="s">
        <v>34</v>
      </c>
      <c r="M45" s="12" t="s">
        <v>36</v>
      </c>
      <c r="N45" s="12" t="s">
        <v>38</v>
      </c>
      <c r="O45" s="12" t="s">
        <v>40</v>
      </c>
      <c r="P45" s="13" t="s">
        <v>42</v>
      </c>
      <c r="Q45" s="13" t="s">
        <v>44</v>
      </c>
    </row>
    <row r="46" spans="5:17" ht="18" x14ac:dyDescent="0.35">
      <c r="E46" s="24" t="s">
        <v>49</v>
      </c>
      <c r="F46" s="22">
        <f>COUNTIF(Tabela1[Venda],cálculos!$B$4)</f>
        <v>0</v>
      </c>
      <c r="G46" s="23">
        <f>COUNTIF(Tabela112[Venda],cálculos!$B$4)</f>
        <v>0</v>
      </c>
      <c r="H46" s="12">
        <f>COUNTIF(Tabela11213[Venda],cálculos!$B$4)</f>
        <v>0</v>
      </c>
      <c r="I46" s="12">
        <f>COUNTIF(Tabela1121314[Venda],cálculos!$B$4)</f>
        <v>0</v>
      </c>
      <c r="J46" s="23">
        <f>COUNTIF(Tabela112131415[Venda],cálculos!$B$4)</f>
        <v>0</v>
      </c>
      <c r="K46" s="23">
        <f>COUNTIF(Tabela11213141516[Venda],cálculos!$B$4)</f>
        <v>0</v>
      </c>
      <c r="L46" s="12">
        <f>COUNTIF(Tabela1121314151617[Venda],cálculos!$B$4)</f>
        <v>0</v>
      </c>
      <c r="M46" s="12">
        <f>COUNTIF(Tabela112131415161718[Venda],cálculos!$B$4)</f>
        <v>0</v>
      </c>
      <c r="N46" s="23">
        <f>COUNTIF(Tabela11213141516171819[Venda],cálculos!$B$4)</f>
        <v>0</v>
      </c>
      <c r="O46" s="23">
        <f>COUNTIF(Tabela1121314151617181920[Venda],cálculos!$B$4)</f>
        <v>0</v>
      </c>
      <c r="P46" s="12">
        <f>COUNTIF(Tabela112131415161718192021[Venda],cálculos!$B$4)</f>
        <v>0</v>
      </c>
      <c r="Q46" s="13">
        <f>COUNTIF(Tabela11213141516171819202122[Venda],cálculos!$B$4)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 Antigo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2020-05-13T18:56:54Z</dcterms:modified>
</cp:coreProperties>
</file>