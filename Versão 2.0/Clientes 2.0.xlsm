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Versão 2.0\"/>
    </mc:Choice>
  </mc:AlternateContent>
  <xr:revisionPtr revIDLastSave="0" documentId="13_ncr:1_{95374506-5A85-4B8A-827A-42BDB00EF610}" xr6:coauthVersionLast="45" xr6:coauthVersionMax="45" xr10:uidLastSave="{00000000-0000-0000-0000-000000000000}"/>
  <bookViews>
    <workbookView xWindow="-108" yWindow="-108" windowWidth="23256" windowHeight="12576" tabRatio="0" xr2:uid="{2DBF6239-EF66-478B-94C4-57E5C69312C3}"/>
  </bookViews>
  <sheets>
    <sheet name="Menu" sheetId="63" r:id="rId1"/>
    <sheet name="Mês 1" sheetId="1" r:id="rId2"/>
    <sheet name="Análise Mês 1" sheetId="10" r:id="rId3"/>
    <sheet name="Mês 2" sheetId="40" r:id="rId4"/>
    <sheet name="Análise Mês 2" sheetId="41" r:id="rId5"/>
    <sheet name="Mês 3" sheetId="42" r:id="rId6"/>
    <sheet name="Análise Mês 3" sheetId="43" r:id="rId7"/>
    <sheet name="Mês 4" sheetId="45" r:id="rId8"/>
    <sheet name="Análise Mês 4" sheetId="46" r:id="rId9"/>
    <sheet name="Mês 5" sheetId="47" r:id="rId10"/>
    <sheet name="Análise Mês 5" sheetId="48" r:id="rId11"/>
    <sheet name="Mês 6" sheetId="49" r:id="rId12"/>
    <sheet name="Análise Mês 6" sheetId="50" r:id="rId13"/>
    <sheet name="Mês 7" sheetId="51" r:id="rId14"/>
    <sheet name="Análise Mês 7" sheetId="52" r:id="rId15"/>
    <sheet name="Mês 8" sheetId="53" r:id="rId16"/>
    <sheet name="Análise Mês 8" sheetId="54" r:id="rId17"/>
    <sheet name="Mês 9" sheetId="55" r:id="rId18"/>
    <sheet name="Análise Mês 9" sheetId="56" r:id="rId19"/>
    <sheet name="Mês 10" sheetId="57" r:id="rId20"/>
    <sheet name="Análise Mês 10" sheetId="58" r:id="rId21"/>
    <sheet name="Mês 11" sheetId="59" r:id="rId22"/>
    <sheet name="Análise Mês 11" sheetId="60" r:id="rId23"/>
    <sheet name="Mês 12" sheetId="61" r:id="rId24"/>
    <sheet name="Análise Mês 12" sheetId="62" r:id="rId25"/>
    <sheet name="Resultados" sheetId="9" r:id="rId26"/>
    <sheet name="cálculos" sheetId="4" state="hidden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62" l="1"/>
  <c r="F9" i="60"/>
  <c r="F9" i="58"/>
  <c r="F9" i="56"/>
  <c r="F9" i="54"/>
  <c r="F9" i="52"/>
  <c r="F9" i="50"/>
  <c r="F9" i="48"/>
  <c r="F9" i="46"/>
  <c r="F9" i="43"/>
  <c r="F9" i="41"/>
  <c r="F9" i="10"/>
  <c r="E124" i="9"/>
  <c r="E123" i="9"/>
  <c r="E122" i="9"/>
  <c r="E121" i="9"/>
  <c r="E120" i="9"/>
  <c r="E119" i="9"/>
  <c r="E118" i="9"/>
  <c r="E117" i="9"/>
  <c r="E116" i="9"/>
  <c r="E115" i="9"/>
  <c r="E114" i="9"/>
  <c r="E113" i="9"/>
  <c r="E12" i="9"/>
  <c r="F5" i="46" l="1"/>
  <c r="E92" i="9" l="1"/>
  <c r="E94" i="9"/>
  <c r="E101" i="9"/>
  <c r="E100" i="9"/>
  <c r="E99" i="9"/>
  <c r="E98" i="9"/>
  <c r="E97" i="9"/>
  <c r="E96" i="9"/>
  <c r="E95" i="9"/>
  <c r="E93" i="9"/>
  <c r="E91" i="9"/>
  <c r="E90" i="9"/>
  <c r="E11" i="9"/>
  <c r="F8" i="62"/>
  <c r="F8" i="60"/>
  <c r="F8" i="58"/>
  <c r="F8" i="56"/>
  <c r="F8" i="54"/>
  <c r="F8" i="52"/>
  <c r="F8" i="50"/>
  <c r="F8" i="48"/>
  <c r="F8" i="46"/>
  <c r="F8" i="43"/>
  <c r="F8" i="41"/>
  <c r="F8" i="10"/>
  <c r="F7" i="10"/>
  <c r="F5" i="10"/>
  <c r="E147" i="9" l="1"/>
  <c r="E146" i="9"/>
  <c r="E145" i="9"/>
  <c r="E144" i="9"/>
  <c r="E143" i="9"/>
  <c r="E142" i="9"/>
  <c r="E141" i="9"/>
  <c r="E140" i="9"/>
  <c r="E139" i="9"/>
  <c r="E138" i="9"/>
  <c r="E137" i="9"/>
  <c r="E136" i="9"/>
  <c r="E13" i="9"/>
  <c r="E80" i="9"/>
  <c r="E79" i="9"/>
  <c r="E78" i="9"/>
  <c r="E77" i="9"/>
  <c r="E76" i="9"/>
  <c r="E75" i="9"/>
  <c r="E74" i="9"/>
  <c r="E69" i="9"/>
  <c r="E70" i="9"/>
  <c r="E71" i="9"/>
  <c r="E72" i="9"/>
  <c r="E73" i="9"/>
  <c r="E10" i="9"/>
  <c r="E60" i="9"/>
  <c r="E59" i="9"/>
  <c r="E58" i="9"/>
  <c r="E57" i="9"/>
  <c r="E56" i="9"/>
  <c r="E55" i="9"/>
  <c r="E54" i="9"/>
  <c r="E53" i="9"/>
  <c r="E52" i="9"/>
  <c r="E51" i="9"/>
  <c r="E50" i="9"/>
  <c r="E49" i="9"/>
  <c r="E9" i="9"/>
  <c r="E40" i="9"/>
  <c r="E39" i="9"/>
  <c r="E38" i="9"/>
  <c r="E37" i="9"/>
  <c r="E36" i="9"/>
  <c r="E35" i="9"/>
  <c r="E34" i="9"/>
  <c r="E33" i="9"/>
  <c r="E32" i="9"/>
  <c r="E31" i="9"/>
  <c r="E30" i="9"/>
  <c r="E29" i="9"/>
  <c r="E8" i="9"/>
  <c r="F10" i="62"/>
  <c r="F7" i="62"/>
  <c r="F6" i="62"/>
  <c r="F5" i="62"/>
  <c r="F10" i="60"/>
  <c r="F7" i="60"/>
  <c r="F6" i="60"/>
  <c r="F5" i="60"/>
  <c r="F10" i="58"/>
  <c r="F7" i="58"/>
  <c r="F6" i="58"/>
  <c r="F5" i="58"/>
  <c r="F10" i="56"/>
  <c r="F7" i="56"/>
  <c r="F6" i="56"/>
  <c r="F5" i="56"/>
  <c r="F10" i="54"/>
  <c r="F7" i="54"/>
  <c r="F6" i="54"/>
  <c r="F5" i="54"/>
  <c r="F10" i="52"/>
  <c r="F7" i="52"/>
  <c r="F6" i="52"/>
  <c r="F5" i="52"/>
  <c r="F10" i="50"/>
  <c r="F7" i="50"/>
  <c r="F6" i="50"/>
  <c r="F5" i="50"/>
  <c r="F10" i="48"/>
  <c r="F7" i="48"/>
  <c r="F6" i="48"/>
  <c r="F5" i="48"/>
  <c r="F10" i="46"/>
  <c r="F7" i="46"/>
  <c r="F6" i="46"/>
  <c r="F10" i="43"/>
  <c r="F7" i="43"/>
  <c r="F6" i="43"/>
  <c r="F5" i="43"/>
  <c r="F10" i="41"/>
  <c r="F7" i="41"/>
  <c r="F6" i="41"/>
  <c r="F5" i="41"/>
  <c r="F10" i="10" l="1"/>
  <c r="F6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D1E1766-E656-4CB1-8045-CBF4CAF171B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457A5C51-3FF6-487F-A58B-55DA47859DC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B420842-3073-4A5B-B085-22903768593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E00E4777-39B8-4165-973E-D6645ED5E4A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68EEAEE-87DA-4E81-9FC9-43B49DE1C62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4A9DC95-5EDE-4249-8C11-5BACE0B6252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B246BBCE-DB87-41F1-903D-5DD32960045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OLX, outros.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6BA9070-078E-4CF0-89E2-D6E3A71546F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D008FEBD-B54F-47DB-8545-E73CBBC36A5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579B854-3832-451E-925F-569F69D1621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AB5AE41-226E-4BC9-BE55-C69CDE1DDBF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6A9306A-F70D-4E34-AFC8-6EA4F281BA2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D23EF4A-B572-447B-B684-0615C2860F0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E934911D-B71C-4C49-9FD9-3567F1CCA51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829E712-F7E4-42D6-B0DB-FCDC18A72AE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C4735F7-E12D-4865-8C90-1E834E8E9B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A64B423-FAF5-4E5C-84F6-2BD4EE57036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5CCF7B7-313B-4693-BC94-AF79129D9EE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EA84658-8CDE-46E2-AC7E-8F9FD338C2A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2E469FB-9D4B-42A0-B534-E69B1E9F41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04B4C9DD-67ED-46D0-9880-D9A3020EDFC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310E15F-F8BC-4B4C-B650-BF82FC8D3E0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0F06C89-285B-4117-AD95-C531CFC5CB4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C7C44869-44FA-4580-BB7D-C09D383C09F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AC3A54F-7F4C-4664-9396-80189D4527A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B1B45BC-4DA1-42A0-89F1-4BA922C8C91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5570562-017E-4ED3-8D26-B91401A968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182469A9-92BE-49A8-8507-4BC3FD0F246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9F906EF-9767-44AF-A556-815D14FFBA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2328649-682A-4572-9F56-443193555C6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B07E148-249D-454C-976F-5FB174BCD08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63485EB-DCA5-4B67-9D77-9115BB58C97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993F8339-3D44-439E-8A3E-ACA959C4B97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42C4DEA-8E26-488E-9881-5B5521425A5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<sst xmlns="http://schemas.openxmlformats.org/spreadsheetml/2006/main" count="320" uniqueCount="61">
  <si>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</si>
  <si>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</si>
  <si>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</si>
  <si>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</si>
  <si>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</si>
  <si>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</si>
  <si>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</si>
  <si>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</si>
  <si>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</si>
  <si>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</si>
  <si>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</si>
  <si>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</si>
  <si>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</si>
  <si>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</si>
  <si>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</si>
  <si>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</si>
  <si>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</si>
  <si>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</si>
  <si>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</si>
  <si>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</si>
  <si>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</si>
  <si>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</si>
  <si>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</si>
  <si>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</si>
  <si>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</si>
  <si>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</si>
  <si>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</si>
  <si>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</si>
  <si>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</si>
  <si>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</si>
  <si>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</si>
  <si>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</si>
  <si>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</si>
  <si>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</si>
  <si>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</si>
  <si>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</si>
  <si>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</si>
  <si>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</si>
  <si>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</si>
  <si>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</si>
  <si>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</si>
  <si>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</si>
  <si>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</si>
  <si>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</si>
  <si>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</si>
  <si>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</si>
  <si>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</si>
  <si>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</si>
  <si>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</si>
  <si>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</si>
  <si>
    <t>Quantidade de Clientes Pesquisando</t>
  </si>
  <si>
    <t xml:space="preserve">Quantidade Total de Cliente Potencial </t>
  </si>
  <si>
    <t xml:space="preserve">Quantidade Total de Visitas </t>
  </si>
  <si>
    <t xml:space="preserve">Quantidade Total de Clientes Atendidos </t>
  </si>
  <si>
    <t>Quantidade de Cliente Pesquisando por Mês</t>
  </si>
  <si>
    <t>Característica do Imóvel</t>
  </si>
  <si>
    <t>Frio</t>
  </si>
  <si>
    <t>Quantidade de Cliente Frio por Mês</t>
  </si>
  <si>
    <t xml:space="preserve">Quantidade Total de Cliente Pesquisando </t>
  </si>
  <si>
    <t>Quantidade Total de Cliente Frio</t>
  </si>
  <si>
    <t>Quantidade de Clientes Frios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</si>
</sst>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  <xf numFmtId="0" fontId="9" fillId="0" borderId="0" xfId="1" applyFont="1"/>
    <xf numFmtId="0" fontId="0" fillId="0" borderId="0" xfId="0" applyAlignment="1">
      <alignment vertical="center" wrapText="1"/>
    </xf>
  </cellXfs>
  <cellStyles count="2">
    <cellStyle name="Hiperlink" xfId="1" builtinId="8"/>
    <cellStyle name="Normal" xfId="0" builtinId="0"/>
  </cellStyles>
  <dxfs count="96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7547265966754158"/>
          <c:y val="0.10353326735797369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8F-483A-9D2E-F09AE97747F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6D3-4277-9750-2DB9C37899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Resultados!$D$8:$D$13</c:f>
              <c:strCache>
                <c:ptCount val="6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 Pesquisando </c:v>
                </c:pt>
                <c:pt idx="4">
                  <c:v>Quantidade Total de Cliente Frio</c:v>
                </c:pt>
                <c:pt idx="5">
                  <c:v>Vendas Efetivadas Totais</c:v>
                </c:pt>
              </c:strCache>
            </c:strRef>
          </c:cat>
          <c:val>
            <c:numRef>
              <c:f>Resultados!$E$8:$E$13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178849518810149"/>
          <c:y val="0.5998379300948038"/>
          <c:w val="0.46197834645669289"/>
          <c:h val="0.37739339959554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Resultados!$D$29:$D$40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Resultados!$E$29:$E$40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Resultados!$D$49:$D$60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Resultados!$E$49:$E$60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Resultados!$D$69:$D$80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Resultados!$E$69:$E$80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Resultados!$D$136:$D$147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Resultados!$E$136:$E$147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Resultados!$D$90:$D$101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Resultados!$E$90:$E$101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DF-96AE-D4BC6C071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Resultados!$D$113:$D$124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Resultados!$E$113:$E$124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21-4FA5-993B-2CA851060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&#234;s 8'!A1"/><Relationship Id="rId13" Type="http://schemas.openxmlformats.org/officeDocument/2006/relationships/hyperlink" Target="#'M&#234;s 1'!A1"/><Relationship Id="rId3" Type="http://schemas.openxmlformats.org/officeDocument/2006/relationships/hyperlink" Target="#'M&#234;s 3'!A1"/><Relationship Id="rId7" Type="http://schemas.openxmlformats.org/officeDocument/2006/relationships/hyperlink" Target="#'M&#234;s 7'!A1"/><Relationship Id="rId12" Type="http://schemas.openxmlformats.org/officeDocument/2006/relationships/hyperlink" Target="#'M&#234;s 12'!A1"/><Relationship Id="rId2" Type="http://schemas.openxmlformats.org/officeDocument/2006/relationships/hyperlink" Target="#'M&#234;s 2'!A1"/><Relationship Id="rId1" Type="http://schemas.openxmlformats.org/officeDocument/2006/relationships/image" Target="../media/image1.jpeg"/><Relationship Id="rId6" Type="http://schemas.openxmlformats.org/officeDocument/2006/relationships/hyperlink" Target="#'M&#234;s 6'!A1"/><Relationship Id="rId11" Type="http://schemas.openxmlformats.org/officeDocument/2006/relationships/hyperlink" Target="#'M&#234;s 11'!A1"/><Relationship Id="rId5" Type="http://schemas.openxmlformats.org/officeDocument/2006/relationships/hyperlink" Target="#'M&#234;s 5'!A1"/><Relationship Id="rId10" Type="http://schemas.openxmlformats.org/officeDocument/2006/relationships/hyperlink" Target="#'M&#234;s 10'!A1"/><Relationship Id="rId4" Type="http://schemas.openxmlformats.org/officeDocument/2006/relationships/hyperlink" Target="#'M&#234;s 4'!A1"/><Relationship Id="rId9" Type="http://schemas.openxmlformats.org/officeDocument/2006/relationships/hyperlink" Target="#'M&#234;s 9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20" Type="http://schemas.openxmlformats.org/officeDocument/2006/relationships/chart" Target="../charts/chart7.xml"/><Relationship Id="rId1" Type="http://schemas.openxmlformats.org/officeDocument/2006/relationships/chart" Target="../charts/chart1.xml"/><Relationship Id="rId6" Type="http://schemas.openxmlformats.org/officeDocument/2006/relationships/hyperlink" Target="#Resultados!D157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19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AC0B494-1D75-494D-9139-B174ECD25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92000" cy="547116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7767C088-E215-4514-921A-4F2D7BF42C8B}"/>
            </a:ext>
          </a:extLst>
        </xdr:cNvPr>
        <xdr:cNvSpPr/>
      </xdr:nvSpPr>
      <xdr:spPr>
        <a:xfrm>
          <a:off x="0" y="0"/>
          <a:ext cx="12192000" cy="5471160"/>
        </a:xfrm>
        <a:prstGeom prst="rect">
          <a:avLst/>
        </a:prstGeom>
        <a:solidFill>
          <a:schemeClr val="dk1">
            <a:alpha val="35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200116</xdr:colOff>
      <xdr:row>13</xdr:row>
      <xdr:rowOff>137024</xdr:rowOff>
    </xdr:from>
    <xdr:to>
      <xdr:col>9</xdr:col>
      <xdr:colOff>251460</xdr:colOff>
      <xdr:row>17</xdr:row>
      <xdr:rowOff>7620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5172AA-8A30-4463-9255-85DA3FDD253A}"/>
            </a:ext>
          </a:extLst>
        </xdr:cNvPr>
        <xdr:cNvSpPr/>
      </xdr:nvSpPr>
      <xdr:spPr>
        <a:xfrm>
          <a:off x="3857716" y="2682104"/>
          <a:ext cx="1880144" cy="602116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2</a:t>
          </a:r>
        </a:p>
      </xdr:txBody>
    </xdr:sp>
    <xdr:clientData/>
  </xdr:twoCellAnchor>
  <xdr:twoCellAnchor editAs="absolute">
    <xdr:from>
      <xdr:col>9</xdr:col>
      <xdr:colOff>472439</xdr:colOff>
      <xdr:row>13</xdr:row>
      <xdr:rowOff>137160</xdr:rowOff>
    </xdr:from>
    <xdr:to>
      <xdr:col>12</xdr:col>
      <xdr:colOff>594360</xdr:colOff>
      <xdr:row>17</xdr:row>
      <xdr:rowOff>7619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2DDCDB8-6736-477D-8FFC-4FB271C72887}"/>
            </a:ext>
          </a:extLst>
        </xdr:cNvPr>
        <xdr:cNvSpPr/>
      </xdr:nvSpPr>
      <xdr:spPr>
        <a:xfrm>
          <a:off x="5958839" y="2682240"/>
          <a:ext cx="1950721" cy="601979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3</a:t>
          </a:r>
        </a:p>
      </xdr:txBody>
    </xdr:sp>
    <xdr:clientData/>
  </xdr:twoCellAnchor>
  <xdr:twoCellAnchor>
    <xdr:from>
      <xdr:col>13</xdr:col>
      <xdr:colOff>152400</xdr:colOff>
      <xdr:row>13</xdr:row>
      <xdr:rowOff>137160</xdr:rowOff>
    </xdr:from>
    <xdr:to>
      <xdr:col>16</xdr:col>
      <xdr:colOff>182880</xdr:colOff>
      <xdr:row>17</xdr:row>
      <xdr:rowOff>22860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01F469-3458-48EF-BEDD-BAD87B34ED9F}"/>
            </a:ext>
          </a:extLst>
        </xdr:cNvPr>
        <xdr:cNvSpPr/>
      </xdr:nvSpPr>
      <xdr:spPr>
        <a:xfrm>
          <a:off x="8077200" y="268224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4</a:t>
          </a:r>
        </a:p>
      </xdr:txBody>
    </xdr:sp>
    <xdr:clientData/>
  </xdr:twoCellAnchor>
  <xdr:twoCellAnchor>
    <xdr:from>
      <xdr:col>3</xdr:col>
      <xdr:colOff>0</xdr:colOff>
      <xdr:row>18</xdr:row>
      <xdr:rowOff>15240</xdr:rowOff>
    </xdr:from>
    <xdr:to>
      <xdr:col>6</xdr:col>
      <xdr:colOff>19404</xdr:colOff>
      <xdr:row>21</xdr:row>
      <xdr:rowOff>83820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85925A-0980-44D8-9DEB-9AEDF6CA76A1}"/>
            </a:ext>
          </a:extLst>
        </xdr:cNvPr>
        <xdr:cNvSpPr/>
      </xdr:nvSpPr>
      <xdr:spPr>
        <a:xfrm>
          <a:off x="1828800" y="3474720"/>
          <a:ext cx="1848204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5</a:t>
          </a:r>
        </a:p>
      </xdr:txBody>
    </xdr:sp>
    <xdr:clientData/>
  </xdr:twoCellAnchor>
  <xdr:twoCellAnchor>
    <xdr:from>
      <xdr:col>6</xdr:col>
      <xdr:colOff>205740</xdr:colOff>
      <xdr:row>18</xdr:row>
      <xdr:rowOff>7620</xdr:rowOff>
    </xdr:from>
    <xdr:to>
      <xdr:col>9</xdr:col>
      <xdr:colOff>251460</xdr:colOff>
      <xdr:row>21</xdr:row>
      <xdr:rowOff>76200</xdr:rowOff>
    </xdr:to>
    <xdr:sp macro="" textlink="">
      <xdr:nvSpPr>
        <xdr:cNvPr id="21" name="Retângul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5D53DAA-53B0-424B-819E-870E3E29E0ED}"/>
            </a:ext>
          </a:extLst>
        </xdr:cNvPr>
        <xdr:cNvSpPr/>
      </xdr:nvSpPr>
      <xdr:spPr>
        <a:xfrm>
          <a:off x="3863340" y="3467100"/>
          <a:ext cx="187452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6</a:t>
          </a:r>
        </a:p>
      </xdr:txBody>
    </xdr:sp>
    <xdr:clientData/>
  </xdr:twoCellAnchor>
  <xdr:twoCellAnchor>
    <xdr:from>
      <xdr:col>9</xdr:col>
      <xdr:colOff>449580</xdr:colOff>
      <xdr:row>18</xdr:row>
      <xdr:rowOff>0</xdr:rowOff>
    </xdr:from>
    <xdr:to>
      <xdr:col>12</xdr:col>
      <xdr:colOff>594360</xdr:colOff>
      <xdr:row>21</xdr:row>
      <xdr:rowOff>68580</xdr:rowOff>
    </xdr:to>
    <xdr:sp macro="" textlink="">
      <xdr:nvSpPr>
        <xdr:cNvPr id="22" name="Retângulo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F4EBCEF-C266-4133-A48A-CDC9E1EFA5EA}"/>
            </a:ext>
          </a:extLst>
        </xdr:cNvPr>
        <xdr:cNvSpPr/>
      </xdr:nvSpPr>
      <xdr:spPr>
        <a:xfrm>
          <a:off x="5935980" y="3459480"/>
          <a:ext cx="19735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7</a:t>
          </a:r>
        </a:p>
      </xdr:txBody>
    </xdr:sp>
    <xdr:clientData/>
  </xdr:twoCellAnchor>
  <xdr:twoCellAnchor>
    <xdr:from>
      <xdr:col>13</xdr:col>
      <xdr:colOff>152400</xdr:colOff>
      <xdr:row>17</xdr:row>
      <xdr:rowOff>167640</xdr:rowOff>
    </xdr:from>
    <xdr:to>
      <xdr:col>16</xdr:col>
      <xdr:colOff>190500</xdr:colOff>
      <xdr:row>21</xdr:row>
      <xdr:rowOff>53340</xdr:rowOff>
    </xdr:to>
    <xdr:sp macro="" textlink="">
      <xdr:nvSpPr>
        <xdr:cNvPr id="23" name="Retângulo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883890F-1F39-44C2-A034-8DBDBDD95C09}"/>
            </a:ext>
          </a:extLst>
        </xdr:cNvPr>
        <xdr:cNvSpPr/>
      </xdr:nvSpPr>
      <xdr:spPr>
        <a:xfrm>
          <a:off x="8077200" y="3444240"/>
          <a:ext cx="186690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8</a:t>
          </a:r>
        </a:p>
      </xdr:txBody>
    </xdr:sp>
    <xdr:clientData/>
  </xdr:twoCellAnchor>
  <xdr:twoCellAnchor>
    <xdr:from>
      <xdr:col>3</xdr:col>
      <xdr:colOff>0</xdr:colOff>
      <xdr:row>22</xdr:row>
      <xdr:rowOff>68580</xdr:rowOff>
    </xdr:from>
    <xdr:to>
      <xdr:col>6</xdr:col>
      <xdr:colOff>30480</xdr:colOff>
      <xdr:row>25</xdr:row>
      <xdr:rowOff>137160</xdr:rowOff>
    </xdr:to>
    <xdr:sp macro="" textlink="">
      <xdr:nvSpPr>
        <xdr:cNvPr id="24" name="Retângulo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C1C9D6A-AFAF-4D61-8A11-A236BD22890B}"/>
            </a:ext>
          </a:extLst>
        </xdr:cNvPr>
        <xdr:cNvSpPr/>
      </xdr:nvSpPr>
      <xdr:spPr>
        <a:xfrm>
          <a:off x="182880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9</a:t>
          </a:r>
        </a:p>
      </xdr:txBody>
    </xdr:sp>
    <xdr:clientData/>
  </xdr:twoCellAnchor>
  <xdr:twoCellAnchor>
    <xdr:from>
      <xdr:col>6</xdr:col>
      <xdr:colOff>198120</xdr:colOff>
      <xdr:row>22</xdr:row>
      <xdr:rowOff>68580</xdr:rowOff>
    </xdr:from>
    <xdr:to>
      <xdr:col>9</xdr:col>
      <xdr:colOff>251460</xdr:colOff>
      <xdr:row>25</xdr:row>
      <xdr:rowOff>137160</xdr:rowOff>
    </xdr:to>
    <xdr:sp macro="" textlink="">
      <xdr:nvSpPr>
        <xdr:cNvPr id="25" name="Retângulo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2F879BD-6FE6-4488-BFA1-2EDE80B84B14}"/>
            </a:ext>
          </a:extLst>
        </xdr:cNvPr>
        <xdr:cNvSpPr/>
      </xdr:nvSpPr>
      <xdr:spPr>
        <a:xfrm>
          <a:off x="3855720" y="4259580"/>
          <a:ext cx="188214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10</a:t>
          </a:r>
        </a:p>
      </xdr:txBody>
    </xdr:sp>
    <xdr:clientData/>
  </xdr:twoCellAnchor>
  <xdr:twoCellAnchor>
    <xdr:from>
      <xdr:col>9</xdr:col>
      <xdr:colOff>434340</xdr:colOff>
      <xdr:row>22</xdr:row>
      <xdr:rowOff>60960</xdr:rowOff>
    </xdr:from>
    <xdr:to>
      <xdr:col>13</xdr:col>
      <xdr:colOff>0</xdr:colOff>
      <xdr:row>25</xdr:row>
      <xdr:rowOff>129540</xdr:rowOff>
    </xdr:to>
    <xdr:sp macro="" textlink="">
      <xdr:nvSpPr>
        <xdr:cNvPr id="26" name="Retângulo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A61D8F2-EA7B-4D0F-A287-DED333991FFB}"/>
            </a:ext>
          </a:extLst>
        </xdr:cNvPr>
        <xdr:cNvSpPr/>
      </xdr:nvSpPr>
      <xdr:spPr>
        <a:xfrm>
          <a:off x="5920740" y="4251960"/>
          <a:ext cx="200406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11</a:t>
          </a:r>
        </a:p>
      </xdr:txBody>
    </xdr:sp>
    <xdr:clientData/>
  </xdr:twoCellAnchor>
  <xdr:twoCellAnchor>
    <xdr:from>
      <xdr:col>13</xdr:col>
      <xdr:colOff>160020</xdr:colOff>
      <xdr:row>22</xdr:row>
      <xdr:rowOff>68580</xdr:rowOff>
    </xdr:from>
    <xdr:to>
      <xdr:col>16</xdr:col>
      <xdr:colOff>190500</xdr:colOff>
      <xdr:row>25</xdr:row>
      <xdr:rowOff>137160</xdr:rowOff>
    </xdr:to>
    <xdr:sp macro="" textlink="">
      <xdr:nvSpPr>
        <xdr:cNvPr id="27" name="Retângulo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F7C567B-BCB4-4868-B3B3-FC221EB63EAE}"/>
            </a:ext>
          </a:extLst>
        </xdr:cNvPr>
        <xdr:cNvSpPr/>
      </xdr:nvSpPr>
      <xdr:spPr>
        <a:xfrm>
          <a:off x="808482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12</a:t>
          </a:r>
        </a:p>
      </xdr:txBody>
    </xdr:sp>
    <xdr:clientData/>
  </xdr:twoCellAnchor>
  <xdr:twoCellAnchor>
    <xdr:from>
      <xdr:col>3</xdr:col>
      <xdr:colOff>5572</xdr:colOff>
      <xdr:row>13</xdr:row>
      <xdr:rowOff>144830</xdr:rowOff>
    </xdr:from>
    <xdr:to>
      <xdr:col>6</xdr:col>
      <xdr:colOff>22860</xdr:colOff>
      <xdr:row>17</xdr:row>
      <xdr:rowOff>0</xdr:rowOff>
    </xdr:to>
    <xdr:sp macro="" textlink="">
      <xdr:nvSpPr>
        <xdr:cNvPr id="2" name="Retângulo 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EAAC2FB-9B00-4055-A7B7-B7F1FD4471F9}"/>
            </a:ext>
          </a:extLst>
        </xdr:cNvPr>
        <xdr:cNvSpPr/>
      </xdr:nvSpPr>
      <xdr:spPr>
        <a:xfrm>
          <a:off x="1834372" y="2689910"/>
          <a:ext cx="1846088" cy="58669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1739153</xdr:colOff>
      <xdr:row>1</xdr:row>
      <xdr:rowOff>35859</xdr:rowOff>
    </xdr:from>
    <xdr:to>
      <xdr:col>4</xdr:col>
      <xdr:colOff>179293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6126DD-B2CB-4CDC-BEDB-E569AEC2D332}"/>
            </a:ext>
          </a:extLst>
        </xdr:cNvPr>
        <xdr:cNvSpPr/>
      </xdr:nvSpPr>
      <xdr:spPr>
        <a:xfrm>
          <a:off x="67593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71717</xdr:rowOff>
    </xdr:from>
    <xdr:to>
      <xdr:col>1</xdr:col>
      <xdr:colOff>1622611</xdr:colOff>
      <xdr:row>7</xdr:row>
      <xdr:rowOff>170328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88FDD402-4609-4EB5-9297-C934EE87EBB3}"/>
            </a:ext>
          </a:extLst>
        </xdr:cNvPr>
        <xdr:cNvSpPr/>
      </xdr:nvSpPr>
      <xdr:spPr>
        <a:xfrm>
          <a:off x="609600" y="1523999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68580</xdr:colOff>
      <xdr:row>1</xdr:row>
      <xdr:rowOff>45720</xdr:rowOff>
    </xdr:from>
    <xdr:to>
      <xdr:col>13</xdr:col>
      <xdr:colOff>77544</xdr:colOff>
      <xdr:row>1</xdr:row>
      <xdr:rowOff>314661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F352900-A12F-4B79-85F0-F8FC27ED89AD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1837765</xdr:colOff>
      <xdr:row>1</xdr:row>
      <xdr:rowOff>35859</xdr:rowOff>
    </xdr:from>
    <xdr:to>
      <xdr:col>4</xdr:col>
      <xdr:colOff>277905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F6F7C4-0DD0-49AF-A78F-A791E92D2BAD}"/>
            </a:ext>
          </a:extLst>
        </xdr:cNvPr>
        <xdr:cNvSpPr/>
      </xdr:nvSpPr>
      <xdr:spPr>
        <a:xfrm>
          <a:off x="685800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116542</xdr:rowOff>
    </xdr:from>
    <xdr:to>
      <xdr:col>1</xdr:col>
      <xdr:colOff>1631575</xdr:colOff>
      <xdr:row>7</xdr:row>
      <xdr:rowOff>215153</xdr:rowOff>
    </xdr:to>
    <xdr:sp macro="[0]!exibirFormulario" textlink="">
      <xdr:nvSpPr>
        <xdr:cNvPr id="7" name="Retângulo 6">
          <a:extLst>
            <a:ext uri="{FF2B5EF4-FFF2-40B4-BE49-F238E27FC236}">
              <a16:creationId xmlns:a16="http://schemas.microsoft.com/office/drawing/2014/main" id="{8F61EDFE-0C1A-447E-9DDD-9E7577FFE5EA}"/>
            </a:ext>
          </a:extLst>
        </xdr:cNvPr>
        <xdr:cNvSpPr/>
      </xdr:nvSpPr>
      <xdr:spPr>
        <a:xfrm>
          <a:off x="618564" y="156882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D476A2-786A-4F39-BBDC-6945342A9A9E}"/>
            </a:ext>
          </a:extLst>
        </xdr:cNvPr>
        <xdr:cNvSpPr/>
      </xdr:nvSpPr>
      <xdr:spPr>
        <a:xfrm>
          <a:off x="84505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13</xdr:col>
      <xdr:colOff>0</xdr:colOff>
      <xdr:row>18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1810871</xdr:colOff>
      <xdr:row>1</xdr:row>
      <xdr:rowOff>35858</xdr:rowOff>
    </xdr:from>
    <xdr:to>
      <xdr:col>4</xdr:col>
      <xdr:colOff>251011</xdr:colOff>
      <xdr:row>1</xdr:row>
      <xdr:rowOff>304799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CE251B-7287-4E75-854B-23EC0A7EA2E8}"/>
            </a:ext>
          </a:extLst>
        </xdr:cNvPr>
        <xdr:cNvSpPr/>
      </xdr:nvSpPr>
      <xdr:spPr>
        <a:xfrm>
          <a:off x="6831106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116541</xdr:rowOff>
    </xdr:from>
    <xdr:to>
      <xdr:col>1</xdr:col>
      <xdr:colOff>1631575</xdr:colOff>
      <xdr:row>7</xdr:row>
      <xdr:rowOff>215152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58FB4A50-3352-4711-BF3B-37B80ABA9B5D}"/>
            </a:ext>
          </a:extLst>
        </xdr:cNvPr>
        <xdr:cNvSpPr/>
      </xdr:nvSpPr>
      <xdr:spPr>
        <a:xfrm>
          <a:off x="618564" y="156882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A1DABF-55C7-4162-AAD9-0B317FA5B6A6}"/>
            </a:ext>
          </a:extLst>
        </xdr:cNvPr>
        <xdr:cNvSpPr/>
      </xdr:nvSpPr>
      <xdr:spPr>
        <a:xfrm>
          <a:off x="83439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1783977</xdr:colOff>
      <xdr:row>1</xdr:row>
      <xdr:rowOff>35858</xdr:rowOff>
    </xdr:from>
    <xdr:to>
      <xdr:col>4</xdr:col>
      <xdr:colOff>224117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D1E243-2A6E-4C5A-A135-EE85FDF94C94}"/>
            </a:ext>
          </a:extLst>
        </xdr:cNvPr>
        <xdr:cNvSpPr/>
      </xdr:nvSpPr>
      <xdr:spPr>
        <a:xfrm>
          <a:off x="6804212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60064</xdr:rowOff>
    </xdr:from>
    <xdr:to>
      <xdr:col>1</xdr:col>
      <xdr:colOff>1622611</xdr:colOff>
      <xdr:row>7</xdr:row>
      <xdr:rowOff>158675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8AE9DA3F-A183-4C48-A956-DBE9BC6BC568}"/>
            </a:ext>
          </a:extLst>
        </xdr:cNvPr>
        <xdr:cNvSpPr/>
      </xdr:nvSpPr>
      <xdr:spPr>
        <a:xfrm>
          <a:off x="609600" y="151234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939462-E56A-4C42-B576-6E4BAEE8A2D1}"/>
            </a:ext>
          </a:extLst>
        </xdr:cNvPr>
        <xdr:cNvSpPr/>
      </xdr:nvSpPr>
      <xdr:spPr>
        <a:xfrm>
          <a:off x="83515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1792940</xdr:colOff>
      <xdr:row>1</xdr:row>
      <xdr:rowOff>35858</xdr:rowOff>
    </xdr:from>
    <xdr:to>
      <xdr:col>4</xdr:col>
      <xdr:colOff>233080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2BF374-8180-48A0-A0A1-C4B7F2B37A0A}"/>
            </a:ext>
          </a:extLst>
        </xdr:cNvPr>
        <xdr:cNvSpPr/>
      </xdr:nvSpPr>
      <xdr:spPr>
        <a:xfrm>
          <a:off x="6813175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107576</xdr:rowOff>
    </xdr:from>
    <xdr:to>
      <xdr:col>1</xdr:col>
      <xdr:colOff>1631576</xdr:colOff>
      <xdr:row>7</xdr:row>
      <xdr:rowOff>206187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10AA0CE2-C5B0-46C0-9DA6-BBA95AD372CB}"/>
            </a:ext>
          </a:extLst>
        </xdr:cNvPr>
        <xdr:cNvSpPr/>
      </xdr:nvSpPr>
      <xdr:spPr>
        <a:xfrm>
          <a:off x="618565" y="155985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22860</xdr:colOff>
      <xdr:row>1</xdr:row>
      <xdr:rowOff>45720</xdr:rowOff>
    </xdr:from>
    <xdr:to>
      <xdr:col>13</xdr:col>
      <xdr:colOff>31824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E1F2DB-A12B-4AEE-8021-FC130C4BDFF3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1694329</xdr:colOff>
      <xdr:row>1</xdr:row>
      <xdr:rowOff>44824</xdr:rowOff>
    </xdr:from>
    <xdr:to>
      <xdr:col>4</xdr:col>
      <xdr:colOff>134469</xdr:colOff>
      <xdr:row>1</xdr:row>
      <xdr:rowOff>313765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2E96DE-2C18-43E4-8DDA-0596271DCEE3}"/>
            </a:ext>
          </a:extLst>
        </xdr:cNvPr>
        <xdr:cNvSpPr/>
      </xdr:nvSpPr>
      <xdr:spPr>
        <a:xfrm>
          <a:off x="6714564" y="22411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17929</xdr:colOff>
      <xdr:row>6</xdr:row>
      <xdr:rowOff>143435</xdr:rowOff>
    </xdr:from>
    <xdr:to>
      <xdr:col>1</xdr:col>
      <xdr:colOff>1640540</xdr:colOff>
      <xdr:row>7</xdr:row>
      <xdr:rowOff>242046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969829FD-FDCB-4FD2-A7FC-53B3C8325502}"/>
            </a:ext>
          </a:extLst>
        </xdr:cNvPr>
        <xdr:cNvSpPr/>
      </xdr:nvSpPr>
      <xdr:spPr>
        <a:xfrm>
          <a:off x="627529" y="1595717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10</xdr:col>
      <xdr:colOff>601980</xdr:colOff>
      <xdr:row>1</xdr:row>
      <xdr:rowOff>45720</xdr:rowOff>
    </xdr:from>
    <xdr:to>
      <xdr:col>13</xdr:col>
      <xdr:colOff>1344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0DAAA0-6269-4A73-9198-B3E3F4C7F04E}"/>
            </a:ext>
          </a:extLst>
        </xdr:cNvPr>
        <xdr:cNvSpPr/>
      </xdr:nvSpPr>
      <xdr:spPr>
        <a:xfrm>
          <a:off x="83820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1748118</xdr:colOff>
      <xdr:row>1</xdr:row>
      <xdr:rowOff>35859</xdr:rowOff>
    </xdr:from>
    <xdr:to>
      <xdr:col>4</xdr:col>
      <xdr:colOff>188258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906139-F8AC-4284-9925-39DA529DF44E}"/>
            </a:ext>
          </a:extLst>
        </xdr:cNvPr>
        <xdr:cNvSpPr/>
      </xdr:nvSpPr>
      <xdr:spPr>
        <a:xfrm>
          <a:off x="67683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17930</xdr:colOff>
      <xdr:row>6</xdr:row>
      <xdr:rowOff>98612</xdr:rowOff>
    </xdr:from>
    <xdr:to>
      <xdr:col>1</xdr:col>
      <xdr:colOff>1640541</xdr:colOff>
      <xdr:row>7</xdr:row>
      <xdr:rowOff>197223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CA0CCC48-E210-466A-97E3-3645A3A4C076}"/>
            </a:ext>
          </a:extLst>
        </xdr:cNvPr>
        <xdr:cNvSpPr/>
      </xdr:nvSpPr>
      <xdr:spPr>
        <a:xfrm>
          <a:off x="627530" y="155089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30480</xdr:colOff>
      <xdr:row>1</xdr:row>
      <xdr:rowOff>53340</xdr:rowOff>
    </xdr:from>
    <xdr:to>
      <xdr:col>13</xdr:col>
      <xdr:colOff>39444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69364D-A28B-4EAA-B197-CBF291B4BBB4}"/>
            </a:ext>
          </a:extLst>
        </xdr:cNvPr>
        <xdr:cNvSpPr/>
      </xdr:nvSpPr>
      <xdr:spPr>
        <a:xfrm>
          <a:off x="83896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35860</xdr:rowOff>
    </xdr:from>
    <xdr:to>
      <xdr:col>4</xdr:col>
      <xdr:colOff>1541928</xdr:colOff>
      <xdr:row>1</xdr:row>
      <xdr:rowOff>304801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15154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1757082</xdr:colOff>
      <xdr:row>1</xdr:row>
      <xdr:rowOff>35859</xdr:rowOff>
    </xdr:from>
    <xdr:to>
      <xdr:col>4</xdr:col>
      <xdr:colOff>197222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5505C9-E565-415A-A499-BFF000A7BC83}"/>
            </a:ext>
          </a:extLst>
        </xdr:cNvPr>
        <xdr:cNvSpPr/>
      </xdr:nvSpPr>
      <xdr:spPr>
        <a:xfrm>
          <a:off x="6777317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134471</xdr:rowOff>
    </xdr:from>
    <xdr:to>
      <xdr:col>1</xdr:col>
      <xdr:colOff>1631576</xdr:colOff>
      <xdr:row>7</xdr:row>
      <xdr:rowOff>233082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E1037059-BB3F-4A59-ADC2-CBC90DEAD2B5}"/>
            </a:ext>
          </a:extLst>
        </xdr:cNvPr>
        <xdr:cNvSpPr/>
      </xdr:nvSpPr>
      <xdr:spPr>
        <a:xfrm>
          <a:off x="618565" y="158675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0</xdr:colOff>
      <xdr:row>1</xdr:row>
      <xdr:rowOff>45720</xdr:rowOff>
    </xdr:from>
    <xdr:to>
      <xdr:col>13</xdr:col>
      <xdr:colOff>8964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9C3E40-100C-42AF-B0B6-920DBA5F4BC4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1739154</xdr:colOff>
      <xdr:row>1</xdr:row>
      <xdr:rowOff>35858</xdr:rowOff>
    </xdr:from>
    <xdr:to>
      <xdr:col>4</xdr:col>
      <xdr:colOff>179294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8FE9A1-51EE-4648-B666-E1638C58CCA7}"/>
            </a:ext>
          </a:extLst>
        </xdr:cNvPr>
        <xdr:cNvSpPr/>
      </xdr:nvSpPr>
      <xdr:spPr>
        <a:xfrm>
          <a:off x="6759389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17930</xdr:colOff>
      <xdr:row>6</xdr:row>
      <xdr:rowOff>116541</xdr:rowOff>
    </xdr:from>
    <xdr:to>
      <xdr:col>1</xdr:col>
      <xdr:colOff>1640541</xdr:colOff>
      <xdr:row>7</xdr:row>
      <xdr:rowOff>215152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C1224714-5272-43FD-9155-2BAFAEA7F870}"/>
            </a:ext>
          </a:extLst>
        </xdr:cNvPr>
        <xdr:cNvSpPr/>
      </xdr:nvSpPr>
      <xdr:spPr>
        <a:xfrm>
          <a:off x="627530" y="156882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38100</xdr:colOff>
      <xdr:row>1</xdr:row>
      <xdr:rowOff>45720</xdr:rowOff>
    </xdr:from>
    <xdr:to>
      <xdr:col>13</xdr:col>
      <xdr:colOff>47064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3BFA34-CEA0-4A20-8AF8-B5D90DB8D2FC}"/>
            </a:ext>
          </a:extLst>
        </xdr:cNvPr>
        <xdr:cNvSpPr/>
      </xdr:nvSpPr>
      <xdr:spPr>
        <a:xfrm>
          <a:off x="83134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1775012</xdr:colOff>
      <xdr:row>1</xdr:row>
      <xdr:rowOff>35858</xdr:rowOff>
    </xdr:from>
    <xdr:to>
      <xdr:col>4</xdr:col>
      <xdr:colOff>215152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824C94C-0027-4BEA-BF33-895B748F7AE1}"/>
            </a:ext>
          </a:extLst>
        </xdr:cNvPr>
        <xdr:cNvSpPr/>
      </xdr:nvSpPr>
      <xdr:spPr>
        <a:xfrm>
          <a:off x="679524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98612</xdr:rowOff>
    </xdr:from>
    <xdr:to>
      <xdr:col>1</xdr:col>
      <xdr:colOff>1631576</xdr:colOff>
      <xdr:row>7</xdr:row>
      <xdr:rowOff>197223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6F47B208-C91E-4201-A17B-616600352F36}"/>
            </a:ext>
          </a:extLst>
        </xdr:cNvPr>
        <xdr:cNvSpPr/>
      </xdr:nvSpPr>
      <xdr:spPr>
        <a:xfrm>
          <a:off x="618565" y="155089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037111-0A2F-4293-8413-EB0386C1428D}"/>
            </a:ext>
          </a:extLst>
        </xdr:cNvPr>
        <xdr:cNvSpPr/>
      </xdr:nvSpPr>
      <xdr:spPr>
        <a:xfrm>
          <a:off x="84048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1721224</xdr:colOff>
      <xdr:row>1</xdr:row>
      <xdr:rowOff>35859</xdr:rowOff>
    </xdr:from>
    <xdr:to>
      <xdr:col>4</xdr:col>
      <xdr:colOff>161364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7D9BA6D-BFBC-48BA-8A6E-B71487E4E7ED}"/>
            </a:ext>
          </a:extLst>
        </xdr:cNvPr>
        <xdr:cNvSpPr/>
      </xdr:nvSpPr>
      <xdr:spPr>
        <a:xfrm>
          <a:off x="6741459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26894</xdr:colOff>
      <xdr:row>6</xdr:row>
      <xdr:rowOff>125506</xdr:rowOff>
    </xdr:from>
    <xdr:to>
      <xdr:col>1</xdr:col>
      <xdr:colOff>1649505</xdr:colOff>
      <xdr:row>7</xdr:row>
      <xdr:rowOff>224117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08CA65E9-AE0B-45D9-B898-2B623C59FAE0}"/>
            </a:ext>
          </a:extLst>
        </xdr:cNvPr>
        <xdr:cNvSpPr/>
      </xdr:nvSpPr>
      <xdr:spPr>
        <a:xfrm>
          <a:off x="636494" y="157778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7620</xdr:colOff>
      <xdr:row>1</xdr:row>
      <xdr:rowOff>45720</xdr:rowOff>
    </xdr:from>
    <xdr:to>
      <xdr:col>13</xdr:col>
      <xdr:colOff>16584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1EBD726-696C-432B-A0D8-27FED9D56CA8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1766048</xdr:colOff>
      <xdr:row>1</xdr:row>
      <xdr:rowOff>26894</xdr:rowOff>
    </xdr:from>
    <xdr:to>
      <xdr:col>4</xdr:col>
      <xdr:colOff>206188</xdr:colOff>
      <xdr:row>1</xdr:row>
      <xdr:rowOff>295835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A54FF0-5823-4D70-983F-F576FAA4C10F}"/>
            </a:ext>
          </a:extLst>
        </xdr:cNvPr>
        <xdr:cNvSpPr/>
      </xdr:nvSpPr>
      <xdr:spPr>
        <a:xfrm>
          <a:off x="6786283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152400</xdr:rowOff>
    </xdr:from>
    <xdr:to>
      <xdr:col>1</xdr:col>
      <xdr:colOff>1631575</xdr:colOff>
      <xdr:row>7</xdr:row>
      <xdr:rowOff>251011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585AA27B-4956-460C-9603-F03DABF75C09}"/>
            </a:ext>
          </a:extLst>
        </xdr:cNvPr>
        <xdr:cNvSpPr/>
      </xdr:nvSpPr>
      <xdr:spPr>
        <a:xfrm>
          <a:off x="618564" y="1604682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53340</xdr:rowOff>
    </xdr:from>
    <xdr:to>
      <xdr:col>13</xdr:col>
      <xdr:colOff>54684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B35174-1564-46B2-9CA2-344CA7EDE67D}"/>
            </a:ext>
          </a:extLst>
        </xdr:cNvPr>
        <xdr:cNvSpPr/>
      </xdr:nvSpPr>
      <xdr:spPr>
        <a:xfrm>
          <a:off x="83515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27</xdr:row>
      <xdr:rowOff>118110</xdr:rowOff>
    </xdr:from>
    <xdr:to>
      <xdr:col>15</xdr:col>
      <xdr:colOff>365760</xdr:colOff>
      <xdr:row>39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47</xdr:row>
      <xdr:rowOff>80010</xdr:rowOff>
    </xdr:from>
    <xdr:to>
      <xdr:col>15</xdr:col>
      <xdr:colOff>403860</xdr:colOff>
      <xdr:row>59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67</xdr:row>
      <xdr:rowOff>38100</xdr:rowOff>
    </xdr:from>
    <xdr:to>
      <xdr:col>15</xdr:col>
      <xdr:colOff>350520</xdr:colOff>
      <xdr:row>81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133</xdr:row>
      <xdr:rowOff>129540</xdr:rowOff>
    </xdr:from>
    <xdr:to>
      <xdr:col>15</xdr:col>
      <xdr:colOff>373380</xdr:colOff>
      <xdr:row>147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2438400</xdr:colOff>
      <xdr:row>149</xdr:row>
      <xdr:rowOff>53340</xdr:rowOff>
    </xdr:from>
    <xdr:to>
      <xdr:col>4</xdr:col>
      <xdr:colOff>358140</xdr:colOff>
      <xdr:row>150</xdr:row>
      <xdr:rowOff>167640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4267200" y="314629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449580</xdr:colOff>
      <xdr:row>149</xdr:row>
      <xdr:rowOff>45720</xdr:rowOff>
    </xdr:from>
    <xdr:to>
      <xdr:col>6</xdr:col>
      <xdr:colOff>22860</xdr:colOff>
      <xdr:row>150</xdr:row>
      <xdr:rowOff>160020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48640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6</xdr:col>
      <xdr:colOff>121920</xdr:colOff>
      <xdr:row>149</xdr:row>
      <xdr:rowOff>45720</xdr:rowOff>
    </xdr:from>
    <xdr:to>
      <xdr:col>8</xdr:col>
      <xdr:colOff>30480</xdr:colOff>
      <xdr:row>150</xdr:row>
      <xdr:rowOff>160020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71322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8</xdr:col>
      <xdr:colOff>99060</xdr:colOff>
      <xdr:row>149</xdr:row>
      <xdr:rowOff>38100</xdr:rowOff>
    </xdr:from>
    <xdr:to>
      <xdr:col>10</xdr:col>
      <xdr:colOff>7620</xdr:colOff>
      <xdr:row>150</xdr:row>
      <xdr:rowOff>152400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90956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10</xdr:col>
      <xdr:colOff>83820</xdr:colOff>
      <xdr:row>149</xdr:row>
      <xdr:rowOff>38100</xdr:rowOff>
    </xdr:from>
    <xdr:to>
      <xdr:col>11</xdr:col>
      <xdr:colOff>601980</xdr:colOff>
      <xdr:row>150</xdr:row>
      <xdr:rowOff>152400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911352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2438400</xdr:colOff>
      <xdr:row>151</xdr:row>
      <xdr:rowOff>99060</xdr:rowOff>
    </xdr:from>
    <xdr:to>
      <xdr:col>4</xdr:col>
      <xdr:colOff>358140</xdr:colOff>
      <xdr:row>153</xdr:row>
      <xdr:rowOff>30480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4267200" y="318744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464820</xdr:colOff>
      <xdr:row>151</xdr:row>
      <xdr:rowOff>83820</xdr:rowOff>
    </xdr:from>
    <xdr:to>
      <xdr:col>6</xdr:col>
      <xdr:colOff>38100</xdr:colOff>
      <xdr:row>153</xdr:row>
      <xdr:rowOff>15240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50164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6</xdr:col>
      <xdr:colOff>121920</xdr:colOff>
      <xdr:row>151</xdr:row>
      <xdr:rowOff>83820</xdr:rowOff>
    </xdr:from>
    <xdr:to>
      <xdr:col>8</xdr:col>
      <xdr:colOff>30480</xdr:colOff>
      <xdr:row>153</xdr:row>
      <xdr:rowOff>15240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71322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8</xdr:col>
      <xdr:colOff>91440</xdr:colOff>
      <xdr:row>151</xdr:row>
      <xdr:rowOff>91440</xdr:rowOff>
    </xdr:from>
    <xdr:to>
      <xdr:col>10</xdr:col>
      <xdr:colOff>0</xdr:colOff>
      <xdr:row>153</xdr:row>
      <xdr:rowOff>22860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90194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10</xdr:col>
      <xdr:colOff>76200</xdr:colOff>
      <xdr:row>151</xdr:row>
      <xdr:rowOff>91440</xdr:rowOff>
    </xdr:from>
    <xdr:to>
      <xdr:col>11</xdr:col>
      <xdr:colOff>594360</xdr:colOff>
      <xdr:row>153</xdr:row>
      <xdr:rowOff>22860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910590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2453640</xdr:colOff>
      <xdr:row>153</xdr:row>
      <xdr:rowOff>137160</xdr:rowOff>
    </xdr:from>
    <xdr:to>
      <xdr:col>4</xdr:col>
      <xdr:colOff>373380</xdr:colOff>
      <xdr:row>155</xdr:row>
      <xdr:rowOff>68580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4282440" y="322783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464820</xdr:colOff>
      <xdr:row>153</xdr:row>
      <xdr:rowOff>129540</xdr:rowOff>
    </xdr:from>
    <xdr:to>
      <xdr:col>6</xdr:col>
      <xdr:colOff>38100</xdr:colOff>
      <xdr:row>155</xdr:row>
      <xdr:rowOff>60960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501640" y="322707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  <xdr:twoCellAnchor>
    <xdr:from>
      <xdr:col>6</xdr:col>
      <xdr:colOff>365760</xdr:colOff>
      <xdr:row>88</xdr:row>
      <xdr:rowOff>41910</xdr:rowOff>
    </xdr:from>
    <xdr:to>
      <xdr:col>15</xdr:col>
      <xdr:colOff>243840</xdr:colOff>
      <xdr:row>103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CB4AEBB-AA9A-42A0-BD73-C7F9CFA20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365760</xdr:colOff>
      <xdr:row>111</xdr:row>
      <xdr:rowOff>41910</xdr:rowOff>
    </xdr:from>
    <xdr:to>
      <xdr:col>15</xdr:col>
      <xdr:colOff>243840</xdr:colOff>
      <xdr:row>126</xdr:row>
      <xdr:rowOff>137160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61F4138E-BACB-4D67-9A8D-5870E243D3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5C06834C-86C8-4031-9419-A082F28FDEF7}" name="Nome do Cliente"/>
    <tableColumn id="2" xr3:uid="{7DC79E4A-9857-430D-B3C3-D109BC62EED2}" name="Data de Atendimento" dataDxfId="91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90"/>
    <tableColumn id="7" xr3:uid="{623FA001-A20C-4B64-8457-1FEB5B23B39C}" name="Imóvel"/>
    <tableColumn id="15" xr3:uid="{63403B7B-5B03-4527-9D3E-03A600491064}" name="Característica do Imóvel" dataDxfId="89"/>
    <tableColumn id="8" xr3:uid="{2DDCCDD4-50CB-4950-AAB6-5A3452BEC8A8}" name="Tipo de Cliente"/>
    <tableColumn id="9" xr3:uid="{DB3FE6AE-E02E-4132-BB87-9F94A79F96AE}" name="Histórico" dataDxfId="88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9AE27DF4-7035-4C1F-8A4F-B567B3827A56}" name="Nome do Cliente"/>
    <tableColumn id="2" xr3:uid="{E83126F7-B167-4A82-B2C2-2A808ADA4413}" name="Data de Atendimento" dataDxfId="83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82"/>
    <tableColumn id="7" xr3:uid="{5F4630EC-9669-4673-A207-C2922632EEA2}" name="Imóvel"/>
    <tableColumn id="12" xr3:uid="{9ECA9AD3-DF97-45C2-A46E-A8C9F47412FC}" name="Característica do Imóvel" dataDxfId="81"/>
    <tableColumn id="8" xr3:uid="{8A57D337-9C47-41F7-9F2D-00BCCFCA4DCA}" name="Tipo de Cliente"/>
    <tableColumn id="9" xr3:uid="{9AF6CB21-E0B7-431D-AE38-1BB1DADA5B2E}" name="Histórico" dataDxfId="80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L18" totalsRowShown="0">
  <autoFilter ref="B9:L18" xr:uid="{B4C8BFDF-03C3-4F90-AAB7-44373F6D6BB4}"/>
  <sortState xmlns:xlrd2="http://schemas.microsoft.com/office/spreadsheetml/2017/richdata2" ref="B10:L34">
    <sortCondition descending="1" ref="C9:C34"/>
  </sortState>
  <tableColumns count="11">
    <tableColumn id="1" xr3:uid="{E4D55C85-6F5F-4C23-9965-981D8AD173B5}" name="Nome do Cliente"/>
    <tableColumn id="2" xr3:uid="{46DD3E89-26C0-4F07-BB05-0718F96E542B}" name="Data de Atendimento" dataDxfId="75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74"/>
    <tableColumn id="7" xr3:uid="{C8C09B53-093A-4242-97C3-FA0BCEEC2623}" name="Imóvel"/>
    <tableColumn id="11" xr3:uid="{75A1ADFB-8B39-4472-BB5E-61588D9FCEAA}" name="Característica do Imóvel" dataDxfId="73"/>
    <tableColumn id="8" xr3:uid="{7EA82A25-78A6-4670-9830-3BAABB1F4335}" name="Tipo de Cliente"/>
    <tableColumn id="9" xr3:uid="{D9E4652C-A660-46FA-81D4-A42FEC885583}" name="Histórico" dataDxfId="72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70DE3AC9-7798-41D8-8403-470D908AA0A3}" name="Nome do Cliente"/>
    <tableColumn id="2" xr3:uid="{7ED11FED-AA5B-4288-82C8-C3DD3A503659}" name="Data de Atendimento" dataDxfId="67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66"/>
    <tableColumn id="7" xr3:uid="{3C3C756C-FB11-423E-B8FB-6B1291780DC1}" name="Imóvel"/>
    <tableColumn id="11" xr3:uid="{B1530A95-E8C0-4D0B-A13F-E26B9F42DD61}" name="Característica do Imóvel" dataDxfId="65"/>
    <tableColumn id="8" xr3:uid="{DC3BD80D-0F58-4C6E-944B-02B1C7786F4E}" name="Tipo de Cliente"/>
    <tableColumn id="9" xr3:uid="{BDFD947D-6944-4E77-8623-71CA4D0531F0}" name="Histórico" dataDxfId="64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63062132-4782-4669-9A74-A4E00FCAC671}" name="Nome do Cliente"/>
    <tableColumn id="2" xr3:uid="{976738B6-46DE-4880-9AC7-36D463E10F65}" name="Data de Atendimento" dataDxfId="59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58"/>
    <tableColumn id="7" xr3:uid="{33702C7C-37BE-49A8-9160-81E0A9B33CDE}" name="Imóvel"/>
    <tableColumn id="11" xr3:uid="{5464FEC2-2E22-4355-80FA-1203A2364E48}" name="Característica do Imóvel" dataDxfId="57"/>
    <tableColumn id="8" xr3:uid="{60252714-E834-4C2F-843A-FC53BAE9A0CF}" name="Tipo de Cliente"/>
    <tableColumn id="9" xr3:uid="{43B879F7-A222-490B-9EEC-0819B157948F}" name="Histórico" dataDxfId="56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5F831F04-AC23-4CF8-8842-081FC2917BAD}" name="Nome do Cliente"/>
    <tableColumn id="2" xr3:uid="{690BEA81-056A-43F5-B58B-7FB62F0D3E3D}" name="Data de Atendimento" dataDxfId="51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50"/>
    <tableColumn id="7" xr3:uid="{52AB2001-1DBA-4AFC-BD82-DAFD386C39F7}" name="Imóvel"/>
    <tableColumn id="12" xr3:uid="{71A65764-54E6-4E41-B309-F5874AE9EFBA}" name="Característica do Imóvel" dataDxfId="49"/>
    <tableColumn id="8" xr3:uid="{9B6793FB-E4CD-4CD8-9191-7B36166AAF3B}" name="Tipo de Cliente"/>
    <tableColumn id="9" xr3:uid="{F334F7EE-9F66-429C-81ED-05EAF7CB7261}" name="Histórico" dataDxfId="48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E23D81DE-1B36-4C82-AC2B-4DA6B8D71B18}" name="Nome do Cliente"/>
    <tableColumn id="2" xr3:uid="{4742E49B-B3E7-4BC8-A89F-480E9091F767}" name="Data de Atendimento" dataDxfId="43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42"/>
    <tableColumn id="7" xr3:uid="{9D83E79C-BE69-431E-BCBA-27A55809ABDC}" name="Imóvel"/>
    <tableColumn id="11" xr3:uid="{68C852D7-370F-4EC1-8A9B-1DA2CF2253E7}" name="Característica do Imóvel" dataDxfId="41"/>
    <tableColumn id="8" xr3:uid="{65B593A5-5553-4EBA-A236-0B73E6053721}" name="Tipo de Cliente"/>
    <tableColumn id="9" xr3:uid="{6ACC2296-2619-4DDA-8E72-10705DBBA486}" name="Histórico" dataDxfId="40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D9E7D243-4F78-4155-889D-14F781A698CA}" name="Nome do Cliente"/>
    <tableColumn id="2" xr3:uid="{B1251BC4-96CF-4838-B8C0-035F1473587B}" name="Data de Atendimento" dataDxfId="35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34"/>
    <tableColumn id="7" xr3:uid="{EBE5A09A-CE2F-434F-9ECF-47164D358BC6}" name="Imóvel"/>
    <tableColumn id="11" xr3:uid="{B69C1EA2-29F6-4FAF-8B2B-7DA702978B34}" name="Característica do Imóvel" dataDxfId="33"/>
    <tableColumn id="8" xr3:uid="{2C1AB730-684A-41D8-A661-617AF7D7355B}" name="Tipo de Cliente"/>
    <tableColumn id="9" xr3:uid="{C6D5640E-CB6D-4202-9F31-C59E1A923627}" name="Histórico" dataDxfId="32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23B39B5D-A330-43B9-A29D-4FAE68AD35E2}" name="Nome do Cliente"/>
    <tableColumn id="2" xr3:uid="{C743BE74-62E2-47D9-9830-5A7CFA117B1D}" name="Data de Atendimento" dataDxfId="27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26"/>
    <tableColumn id="7" xr3:uid="{E6A41927-B684-4962-B54C-0A6A8CBA817A}" name="Imóvel"/>
    <tableColumn id="11" xr3:uid="{ABB01AAF-1CB1-4154-83DB-3566CF501DC3}" name="Característica do Imóvel" dataDxfId="25"/>
    <tableColumn id="8" xr3:uid="{F8DF43BF-0D6B-4F87-93A7-092806C37996}" name="Tipo de Cliente"/>
    <tableColumn id="9" xr3:uid="{608CB6F9-24D2-400B-9660-6E8D0FB666D2}" name="Histórico" dataDxfId="24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05FB1E68-DD8E-4DB1-B3C2-45BA978955B9}" name="Nome do Cliente"/>
    <tableColumn id="2" xr3:uid="{06547B00-ECB7-4945-87DB-EEA9FE97F92F}" name="Data de Atendimento" dataDxfId="19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18"/>
    <tableColumn id="7" xr3:uid="{9E423CC4-21A6-46FB-BF89-9ED69DED59A3}" name="Imóvel"/>
    <tableColumn id="11" xr3:uid="{AE158442-DE8F-43DE-A607-E879EB34B1C1}" name="Característica do Imóvel" dataDxfId="17"/>
    <tableColumn id="8" xr3:uid="{0565BD31-3706-404C-9C97-49EED3800F52}" name="Tipo de Cliente"/>
    <tableColumn id="9" xr3:uid="{5E8EA7F4-23CA-4E2F-A9D3-C35CF7E219BA}" name="Histórico" dataDxfId="16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C4F2F030-6866-496D-BDEE-3C588F9CD3C5}" name="Nome do Cliente"/>
    <tableColumn id="2" xr3:uid="{9AD776F7-8CC8-41A6-8CA8-BC66A9A19FBA}" name="Data de Atendimento" dataDxfId="11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10"/>
    <tableColumn id="7" xr3:uid="{6026CD79-C2F8-4B7F-B752-D4AC23459AB9}" name="Imóvel"/>
    <tableColumn id="11" xr3:uid="{3E0E1966-DB20-481A-BF25-7A0F6AC34375}" name="Característica do Imóvel" dataDxfId="9"/>
    <tableColumn id="8" xr3:uid="{ADA4ECCB-505B-4906-99F3-D50A34533503}" name="Tipo de Cliente"/>
    <tableColumn id="9" xr3:uid="{269B5205-93DB-4664-9910-6855B652B9A4}" name="Histórico" dataDxfId="8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FA52ED63-F4E6-4098-BB29-F0BED3E5CDB1}" name="Nome do Cliente"/>
    <tableColumn id="2" xr3:uid="{25C41909-76F6-432E-AA6B-4D2C3499E7A6}" name="Data de Atendimento" dataDxfId="3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2"/>
    <tableColumn id="7" xr3:uid="{43625F42-BC63-43D4-B2DB-401E879BF1CD}" name="Imóvel"/>
    <tableColumn id="11" xr3:uid="{D95DE417-EA6E-4267-B8FC-A42054597701}" name="Característica do Imóvel" dataDxfId="1"/>
    <tableColumn id="8" xr3:uid="{CB9CB310-C87D-4C13-BA13-A08E31868DDA}" name="Tipo de Cliente"/>
    <tableColumn id="9" xr3:uid="{1E5235E6-2BDF-46EB-AEE8-B6B089E8465D}" name="Histórico" dataDxfId="0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6.xml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8.xml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20.xml"/><Relationship Id="rId4" Type="http://schemas.openxmlformats.org/officeDocument/2006/relationships/comments" Target="../comments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2.xml"/><Relationship Id="rId4" Type="http://schemas.openxmlformats.org/officeDocument/2006/relationships/comments" Target="../comments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4.xml"/><Relationship Id="rId4" Type="http://schemas.openxmlformats.org/officeDocument/2006/relationships/comments" Target="../comments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4BBD-9021-408C-B935-3159148F1D3A}">
  <sheetPr codeName="Planilha1"/>
  <dimension ref="A1:V39"/>
  <sheetViews>
    <sheetView showGridLines="0" showRowColHeaders="0" tabSelected="1" workbookViewId="0"/>
  </sheetViews>
  <sheetFormatPr defaultColWidth="0" defaultRowHeight="14.4" zeroHeight="1" x14ac:dyDescent="0.3"/>
  <cols>
    <col min="1" max="20" width="8.88671875" customWidth="1"/>
    <col min="21" max="22" width="0" hidden="1" customWidth="1"/>
    <col min="23" max="24" width="8.88671875" hidden="1" customWidth="1"/>
    <col min="25" max="16384" width="8.88671875" hidden="1"/>
  </cols>
  <sheetData>
    <row r="1" x14ac:dyDescent="0.3"/>
    <row r="2" ht="28.05" customHeight="1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hidden="1" x14ac:dyDescent="0.3"/>
    <row r="31" hidden="1" x14ac:dyDescent="0.3"/>
    <row r="32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A2:N182"/>
  <sheetViews>
    <sheetView showGridLines="0" showRowColHeaders="0" zoomScale="85" zoomScaleNormal="85" workbookViewId="0">
      <pane ySplit="2" topLeftCell="A3" activePane="bottomLeft" state="frozen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32.5546875" customWidth="1"/>
    <col min="10" max="10" width="17" bestFit="1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13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27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I19" s="1"/>
    </row>
    <row r="20" spans="3:11" ht="30" customHeight="1" x14ac:dyDescent="0.3">
      <c r="C20" s="3"/>
      <c r="G20" s="5"/>
      <c r="I20" s="1"/>
    </row>
    <row r="21" spans="3:11" ht="30" customHeight="1" x14ac:dyDescent="0.3">
      <c r="C21" s="3"/>
      <c r="G21" s="5"/>
      <c r="I21" s="1"/>
    </row>
    <row r="22" spans="3:11" ht="30" customHeight="1" x14ac:dyDescent="0.3">
      <c r="C22" s="3"/>
      <c r="G22" s="5"/>
      <c r="I22" s="1"/>
      <c r="K22" s="1"/>
    </row>
    <row r="23" spans="3:11" ht="30" customHeight="1" x14ac:dyDescent="0.3">
      <c r="C23" s="3"/>
      <c r="G23" s="5"/>
      <c r="I23" s="1"/>
      <c r="K23" s="1"/>
    </row>
    <row r="24" spans="3:11" ht="30" customHeight="1" x14ac:dyDescent="0.3">
      <c r="C24" s="3"/>
      <c r="G24" s="5"/>
      <c r="I24" s="1"/>
      <c r="K24" s="1"/>
    </row>
    <row r="25" spans="3:11" ht="30" customHeight="1" x14ac:dyDescent="0.3">
      <c r="C25" s="3"/>
      <c r="G25" s="5"/>
      <c r="I25" s="1"/>
      <c r="K25" s="1"/>
    </row>
    <row r="26" spans="3:11" ht="30" customHeight="1" x14ac:dyDescent="0.3">
      <c r="C26" s="3"/>
      <c r="G26" s="5"/>
      <c r="I26" s="1"/>
      <c r="K26" s="1"/>
    </row>
    <row r="27" spans="3:11" ht="30" customHeight="1" x14ac:dyDescent="0.3">
      <c r="C27" s="3"/>
      <c r="G27" s="5"/>
      <c r="I27" s="1"/>
      <c r="K27" s="1"/>
    </row>
    <row r="28" spans="3:11" ht="30" customHeight="1" x14ac:dyDescent="0.3">
      <c r="C28" s="3"/>
      <c r="G28" s="5"/>
      <c r="I28" s="2"/>
      <c r="K28" s="2"/>
    </row>
    <row r="29" spans="3:11" ht="30" customHeight="1" x14ac:dyDescent="0.3">
      <c r="C29" s="3"/>
      <c r="G29" s="5"/>
      <c r="I29" s="2"/>
      <c r="K29" s="2"/>
    </row>
    <row r="30" spans="3:11" ht="30" customHeight="1" x14ac:dyDescent="0.3">
      <c r="C30" s="3"/>
      <c r="G30" s="5"/>
      <c r="I30" s="2"/>
      <c r="K30" s="2"/>
    </row>
    <row r="31" spans="3:11" ht="30" customHeight="1" x14ac:dyDescent="0.3">
      <c r="C31" s="3"/>
      <c r="G31" s="5"/>
      <c r="I31" s="2"/>
      <c r="K31" s="2"/>
    </row>
    <row r="32" spans="3:11" ht="30" customHeight="1" x14ac:dyDescent="0.3">
      <c r="C32" s="3"/>
      <c r="G32" s="5"/>
      <c r="I32" s="2"/>
      <c r="K32" s="2"/>
    </row>
    <row r="33" spans="3:11" ht="30" customHeight="1" x14ac:dyDescent="0.3">
      <c r="C33" s="3"/>
      <c r="G33" s="5"/>
      <c r="I33" s="2"/>
      <c r="K33" s="2"/>
    </row>
    <row r="34" spans="3:11" ht="30" customHeight="1" x14ac:dyDescent="0.3">
      <c r="C34" s="3"/>
      <c r="G34" s="5"/>
      <c r="I34" s="2"/>
      <c r="K34" s="2"/>
    </row>
    <row r="35" spans="3:11" ht="30" customHeight="1" x14ac:dyDescent="0.3">
      <c r="C35" s="3"/>
      <c r="G35" s="5"/>
      <c r="I35" s="2"/>
      <c r="K35" s="2"/>
    </row>
    <row r="36" spans="3:11" ht="30" customHeight="1" x14ac:dyDescent="0.3">
      <c r="C36" s="3"/>
      <c r="I36" s="2"/>
      <c r="K36" s="2"/>
    </row>
    <row r="37" spans="3:11" x14ac:dyDescent="0.3">
      <c r="C37" s="3"/>
      <c r="I37" s="2"/>
      <c r="K37" s="2"/>
    </row>
    <row r="38" spans="3:11" x14ac:dyDescent="0.3">
      <c r="C38" s="3"/>
      <c r="I38" s="2"/>
      <c r="K38" s="2"/>
    </row>
    <row r="39" spans="3:11" x14ac:dyDescent="0.3">
      <c r="C39" s="3"/>
      <c r="I39" s="2"/>
      <c r="K39" s="2"/>
    </row>
    <row r="40" spans="3:11" x14ac:dyDescent="0.3">
      <c r="C40" s="3"/>
      <c r="I40" s="2"/>
      <c r="K40" s="2"/>
    </row>
    <row r="41" spans="3:11" x14ac:dyDescent="0.3">
      <c r="C41" s="3"/>
      <c r="I41" s="2"/>
      <c r="K41" s="2"/>
    </row>
    <row r="42" spans="3:11" x14ac:dyDescent="0.3">
      <c r="C42" s="3"/>
      <c r="I42" s="2"/>
      <c r="K42" s="2"/>
    </row>
    <row r="43" spans="3:11" x14ac:dyDescent="0.3">
      <c r="C43" s="3"/>
      <c r="I43" s="2"/>
      <c r="K43" s="2"/>
    </row>
    <row r="44" spans="3:11" x14ac:dyDescent="0.3">
      <c r="C44" s="3"/>
      <c r="I44" s="2"/>
      <c r="K44" s="2"/>
    </row>
    <row r="45" spans="3:11" x14ac:dyDescent="0.3">
      <c r="C45" s="3"/>
      <c r="I45" s="2"/>
      <c r="K45" s="2"/>
    </row>
    <row r="46" spans="3:11" x14ac:dyDescent="0.3">
      <c r="C46" s="3"/>
      <c r="I46" s="2"/>
      <c r="K46" s="2"/>
    </row>
    <row r="47" spans="3:11" x14ac:dyDescent="0.3">
      <c r="C47" s="3"/>
      <c r="I47" s="2"/>
      <c r="K47" s="2"/>
    </row>
    <row r="48" spans="3:11" x14ac:dyDescent="0.3">
      <c r="C48" s="3"/>
      <c r="I48" s="2"/>
      <c r="K48" s="2"/>
    </row>
    <row r="49" spans="3:11" x14ac:dyDescent="0.3">
      <c r="C49" s="3"/>
      <c r="I49" s="2"/>
      <c r="K49" s="2"/>
    </row>
    <row r="50" spans="3:11" x14ac:dyDescent="0.3">
      <c r="C50" s="3"/>
      <c r="I50" s="2"/>
      <c r="K50" s="2"/>
    </row>
    <row r="51" spans="3:11" x14ac:dyDescent="0.3">
      <c r="C51" s="3"/>
      <c r="I51" s="2"/>
      <c r="K51" s="2"/>
    </row>
    <row r="52" spans="3:11" x14ac:dyDescent="0.3">
      <c r="C52" s="3"/>
      <c r="I52" s="2"/>
      <c r="K52" s="2"/>
    </row>
    <row r="53" spans="3:11" x14ac:dyDescent="0.3">
      <c r="C53" s="3"/>
      <c r="I53" s="2"/>
      <c r="K53" s="2"/>
    </row>
    <row r="54" spans="3:11" x14ac:dyDescent="0.3">
      <c r="C54" s="3"/>
      <c r="I54" s="2"/>
      <c r="K54" s="2"/>
    </row>
    <row r="55" spans="3:11" x14ac:dyDescent="0.3">
      <c r="C55" s="3"/>
      <c r="I55" s="2"/>
      <c r="K55" s="2"/>
    </row>
    <row r="56" spans="3:11" x14ac:dyDescent="0.3">
      <c r="C56" s="3"/>
      <c r="I56" s="2"/>
      <c r="K56" s="2"/>
    </row>
    <row r="57" spans="3:11" x14ac:dyDescent="0.3">
      <c r="C57" s="3"/>
      <c r="I57" s="2"/>
      <c r="K57" s="2"/>
    </row>
    <row r="58" spans="3:11" x14ac:dyDescent="0.3">
      <c r="C58" s="3"/>
      <c r="I58" s="2"/>
      <c r="K58" s="2"/>
    </row>
    <row r="59" spans="3:11" x14ac:dyDescent="0.3">
      <c r="C59" s="3"/>
      <c r="I59" s="2"/>
      <c r="K59" s="2"/>
    </row>
    <row r="60" spans="3:11" x14ac:dyDescent="0.3">
      <c r="C60" s="3"/>
      <c r="I60" s="2"/>
      <c r="K60" s="2"/>
    </row>
    <row r="61" spans="3:11" x14ac:dyDescent="0.3">
      <c r="C61" s="3"/>
      <c r="I61" s="2"/>
      <c r="K61" s="2"/>
    </row>
    <row r="62" spans="3:11" x14ac:dyDescent="0.3">
      <c r="C62" s="3"/>
      <c r="I62" s="2"/>
      <c r="K62" s="2"/>
    </row>
    <row r="63" spans="3:11" x14ac:dyDescent="0.3">
      <c r="C63" s="3"/>
      <c r="I63" s="2"/>
      <c r="K63" s="2"/>
    </row>
    <row r="64" spans="3:11" x14ac:dyDescent="0.3">
      <c r="C64" s="3"/>
      <c r="I64" s="2"/>
      <c r="K64" s="2"/>
    </row>
    <row r="65" spans="3:11" x14ac:dyDescent="0.3">
      <c r="C65" s="3"/>
      <c r="I65" s="2"/>
      <c r="K65" s="2"/>
    </row>
    <row r="66" spans="3:11" x14ac:dyDescent="0.3">
      <c r="C66" s="3"/>
      <c r="I66" s="2"/>
      <c r="K66" s="2"/>
    </row>
    <row r="67" spans="3:11" x14ac:dyDescent="0.3">
      <c r="C67" s="3"/>
      <c r="I67" s="2"/>
      <c r="K67" s="2"/>
    </row>
    <row r="68" spans="3:11" x14ac:dyDescent="0.3">
      <c r="C68" s="3"/>
      <c r="I68" s="2"/>
      <c r="K68" s="2"/>
    </row>
    <row r="69" spans="3:11" x14ac:dyDescent="0.3">
      <c r="C69" s="3"/>
      <c r="I69" s="2"/>
      <c r="K69" s="2"/>
    </row>
    <row r="70" spans="3:11" x14ac:dyDescent="0.3">
      <c r="C70" s="3"/>
      <c r="I70" s="2"/>
      <c r="K70" s="2"/>
    </row>
    <row r="71" spans="3:11" x14ac:dyDescent="0.3">
      <c r="C71" s="3"/>
      <c r="I71" s="2"/>
      <c r="K71" s="2"/>
    </row>
    <row r="72" spans="3:11" x14ac:dyDescent="0.3">
      <c r="C72" s="3"/>
      <c r="I72" s="2"/>
      <c r="K72" s="2"/>
    </row>
    <row r="73" spans="3:11" x14ac:dyDescent="0.3">
      <c r="C73" s="3"/>
      <c r="I73" s="2"/>
      <c r="K73" s="2"/>
    </row>
    <row r="74" spans="3:11" x14ac:dyDescent="0.3">
      <c r="C74" s="3"/>
      <c r="I74" s="2"/>
      <c r="K74" s="2"/>
    </row>
    <row r="75" spans="3:11" x14ac:dyDescent="0.3">
      <c r="C75" s="3"/>
      <c r="I75" s="2"/>
      <c r="K75" s="2"/>
    </row>
    <row r="76" spans="3:11" x14ac:dyDescent="0.3">
      <c r="C76" s="3"/>
      <c r="I76" s="2"/>
      <c r="K76" s="2"/>
    </row>
    <row r="77" spans="3:11" x14ac:dyDescent="0.3">
      <c r="C77" s="3"/>
      <c r="I77" s="2"/>
      <c r="K77" s="2"/>
    </row>
    <row r="78" spans="3:11" x14ac:dyDescent="0.3">
      <c r="C78" s="3"/>
      <c r="I78" s="2"/>
      <c r="K78" s="2"/>
    </row>
    <row r="79" spans="3:11" x14ac:dyDescent="0.3">
      <c r="C79" s="3"/>
      <c r="I79" s="2"/>
      <c r="K79" s="2"/>
    </row>
    <row r="80" spans="3:11" x14ac:dyDescent="0.3">
      <c r="C80" s="3"/>
      <c r="I80" s="2"/>
      <c r="K80" s="2"/>
    </row>
    <row r="81" spans="3:11" x14ac:dyDescent="0.3">
      <c r="C81" s="3"/>
      <c r="I81" s="2"/>
      <c r="K81" s="2"/>
    </row>
    <row r="82" spans="3:11" x14ac:dyDescent="0.3">
      <c r="C82" s="3"/>
      <c r="I82" s="2"/>
      <c r="K82" s="2"/>
    </row>
    <row r="83" spans="3:11" x14ac:dyDescent="0.3">
      <c r="C83" s="3"/>
      <c r="I83" s="2"/>
      <c r="K83" s="2"/>
    </row>
    <row r="84" spans="3:11" x14ac:dyDescent="0.3">
      <c r="C84" s="3"/>
      <c r="I84" s="2"/>
      <c r="K84" s="2"/>
    </row>
    <row r="85" spans="3:11" x14ac:dyDescent="0.3">
      <c r="C85" s="3"/>
      <c r="I85" s="2"/>
      <c r="K85" s="2"/>
    </row>
    <row r="86" spans="3:11" x14ac:dyDescent="0.3">
      <c r="C86" s="3"/>
      <c r="I86" s="2"/>
      <c r="K86" s="2"/>
    </row>
    <row r="87" spans="3:11" x14ac:dyDescent="0.3">
      <c r="C87" s="3"/>
      <c r="I87" s="2"/>
      <c r="K87" s="2"/>
    </row>
    <row r="88" spans="3:11" x14ac:dyDescent="0.3">
      <c r="C88" s="3"/>
      <c r="I88" s="2"/>
      <c r="K88" s="2"/>
    </row>
    <row r="89" spans="3:11" x14ac:dyDescent="0.3">
      <c r="C89" s="3"/>
      <c r="I89" s="2"/>
      <c r="K89" s="2"/>
    </row>
    <row r="90" spans="3:11" x14ac:dyDescent="0.3">
      <c r="C90" s="3"/>
      <c r="I90" s="2"/>
      <c r="K90" s="2"/>
    </row>
    <row r="91" spans="3:11" x14ac:dyDescent="0.3">
      <c r="C91" s="3"/>
      <c r="I91" s="2"/>
      <c r="K91" s="2"/>
    </row>
    <row r="92" spans="3:11" x14ac:dyDescent="0.3">
      <c r="C92" s="3"/>
      <c r="I92" s="2"/>
      <c r="K92" s="2"/>
    </row>
    <row r="93" spans="3:11" x14ac:dyDescent="0.3">
      <c r="C93" s="3"/>
      <c r="I93" s="2"/>
      <c r="K93" s="2"/>
    </row>
    <row r="94" spans="3:11" x14ac:dyDescent="0.3">
      <c r="C94" s="3"/>
      <c r="I94" s="2"/>
      <c r="K94" s="2"/>
    </row>
    <row r="95" spans="3:11" x14ac:dyDescent="0.3">
      <c r="C95" s="3"/>
      <c r="I95" s="2"/>
      <c r="K95" s="2"/>
    </row>
    <row r="96" spans="3:11" x14ac:dyDescent="0.3">
      <c r="C96" s="3"/>
      <c r="I96" s="2"/>
      <c r="K96" s="2"/>
    </row>
    <row r="97" spans="3:11" x14ac:dyDescent="0.3">
      <c r="C97" s="3"/>
      <c r="I97" s="2"/>
      <c r="K97" s="2"/>
    </row>
    <row r="98" spans="3:11" x14ac:dyDescent="0.3">
      <c r="C98" s="3"/>
      <c r="I98" s="2"/>
      <c r="K98" s="2"/>
    </row>
    <row r="99" spans="3:11" x14ac:dyDescent="0.3">
      <c r="C99" s="3"/>
      <c r="I99" s="2"/>
      <c r="K99" s="2"/>
    </row>
    <row r="100" spans="3:11" x14ac:dyDescent="0.3">
      <c r="C100" s="3"/>
      <c r="I100" s="2"/>
      <c r="K100" s="2"/>
    </row>
    <row r="101" spans="3:11" x14ac:dyDescent="0.3">
      <c r="C101" s="3"/>
      <c r="I101" s="2"/>
      <c r="K101" s="2"/>
    </row>
    <row r="102" spans="3:11" x14ac:dyDescent="0.3">
      <c r="C102" s="3"/>
      <c r="I102" s="2"/>
      <c r="K102" s="2"/>
    </row>
    <row r="103" spans="3:11" x14ac:dyDescent="0.3">
      <c r="C103" s="3"/>
      <c r="I103" s="2"/>
      <c r="K103" s="2"/>
    </row>
    <row r="104" spans="3:11" x14ac:dyDescent="0.3">
      <c r="C104" s="3"/>
      <c r="I104" s="2"/>
      <c r="K104" s="2"/>
    </row>
    <row r="105" spans="3:11" x14ac:dyDescent="0.3">
      <c r="C105" s="3"/>
      <c r="I105" s="2"/>
      <c r="K105" s="2"/>
    </row>
    <row r="106" spans="3:11" x14ac:dyDescent="0.3">
      <c r="C106" s="3"/>
      <c r="I106" s="2"/>
      <c r="K106" s="2"/>
    </row>
    <row r="107" spans="3:11" x14ac:dyDescent="0.3">
      <c r="C107" s="3"/>
      <c r="I107" s="2"/>
      <c r="K107" s="2"/>
    </row>
    <row r="108" spans="3:11" x14ac:dyDescent="0.3">
      <c r="C108" s="3"/>
      <c r="I108" s="2"/>
      <c r="K108" s="2"/>
    </row>
    <row r="109" spans="3:11" x14ac:dyDescent="0.3">
      <c r="C109" s="3"/>
      <c r="I109" s="2"/>
      <c r="K109" s="2"/>
    </row>
    <row r="110" spans="3:11" x14ac:dyDescent="0.3">
      <c r="C110" s="3"/>
      <c r="I110" s="2"/>
      <c r="K110" s="2"/>
    </row>
    <row r="111" spans="3:11" x14ac:dyDescent="0.3">
      <c r="C111" s="3"/>
      <c r="I111" s="2"/>
      <c r="K111" s="2"/>
    </row>
    <row r="112" spans="3:11" x14ac:dyDescent="0.3">
      <c r="C112" s="3"/>
      <c r="I112" s="2"/>
      <c r="K112" s="2"/>
    </row>
    <row r="113" spans="3:11" x14ac:dyDescent="0.3">
      <c r="C113" s="3"/>
      <c r="I113" s="2"/>
      <c r="K113" s="2"/>
    </row>
    <row r="114" spans="3:11" x14ac:dyDescent="0.3">
      <c r="C114" s="3"/>
      <c r="I114" s="2"/>
      <c r="K114" s="2"/>
    </row>
    <row r="115" spans="3:11" x14ac:dyDescent="0.3">
      <c r="C115" s="3"/>
      <c r="I115" s="2"/>
      <c r="K115" s="2"/>
    </row>
    <row r="116" spans="3:11" x14ac:dyDescent="0.3">
      <c r="C116" s="3"/>
      <c r="I116" s="2"/>
      <c r="K116" s="2"/>
    </row>
    <row r="117" spans="3:11" x14ac:dyDescent="0.3">
      <c r="C117" s="3"/>
      <c r="I117" s="2"/>
      <c r="K117" s="2"/>
    </row>
    <row r="118" spans="3:11" x14ac:dyDescent="0.3">
      <c r="C118" s="3"/>
      <c r="I118" s="2"/>
      <c r="K118" s="2"/>
    </row>
    <row r="119" spans="3:11" x14ac:dyDescent="0.3">
      <c r="C119" s="3"/>
      <c r="I119" s="2"/>
      <c r="K119" s="2"/>
    </row>
    <row r="120" spans="3:11" x14ac:dyDescent="0.3">
      <c r="C120" s="3"/>
      <c r="I120" s="2"/>
      <c r="K120" s="2"/>
    </row>
    <row r="121" spans="3:11" x14ac:dyDescent="0.3">
      <c r="C121" s="3"/>
      <c r="I121" s="2"/>
      <c r="K121" s="2"/>
    </row>
    <row r="122" spans="3:11" x14ac:dyDescent="0.3">
      <c r="C122" s="3"/>
      <c r="I122" s="2"/>
      <c r="K122" s="2"/>
    </row>
    <row r="123" spans="3:11" x14ac:dyDescent="0.3">
      <c r="C123" s="3"/>
      <c r="I123" s="2"/>
      <c r="K123" s="2"/>
    </row>
    <row r="124" spans="3:11" x14ac:dyDescent="0.3">
      <c r="C124" s="3"/>
      <c r="I124" s="2"/>
      <c r="K124" s="2"/>
    </row>
    <row r="125" spans="3:11" x14ac:dyDescent="0.3">
      <c r="C125" s="3"/>
      <c r="I125" s="2"/>
      <c r="K125" s="2"/>
    </row>
    <row r="126" spans="3:11" x14ac:dyDescent="0.3">
      <c r="C126" s="3"/>
      <c r="I126" s="2"/>
      <c r="K126" s="2"/>
    </row>
    <row r="127" spans="3:11" x14ac:dyDescent="0.3">
      <c r="C127" s="3"/>
      <c r="I127" s="2"/>
      <c r="K127" s="2"/>
    </row>
    <row r="128" spans="3:11" x14ac:dyDescent="0.3">
      <c r="C128" s="3"/>
      <c r="I128" s="2"/>
      <c r="K128" s="2"/>
    </row>
    <row r="129" spans="3:11" x14ac:dyDescent="0.3">
      <c r="C129" s="3"/>
      <c r="I129" s="2"/>
      <c r="K129" s="2"/>
    </row>
    <row r="130" spans="3:11" x14ac:dyDescent="0.3">
      <c r="C130" s="3"/>
      <c r="I130" s="2"/>
      <c r="K130" s="2"/>
    </row>
    <row r="131" spans="3:11" x14ac:dyDescent="0.3">
      <c r="C131" s="3"/>
      <c r="I131" s="2"/>
      <c r="K131" s="2"/>
    </row>
    <row r="132" spans="3:11" x14ac:dyDescent="0.3">
      <c r="C132" s="3"/>
      <c r="I132" s="2"/>
      <c r="K132" s="2"/>
    </row>
    <row r="133" spans="3:11" x14ac:dyDescent="0.3">
      <c r="C133" s="3"/>
      <c r="I133" s="2"/>
      <c r="K133" s="2"/>
    </row>
    <row r="134" spans="3:11" x14ac:dyDescent="0.3">
      <c r="C134" s="3"/>
      <c r="I134" s="2"/>
      <c r="K134" s="2"/>
    </row>
    <row r="135" spans="3:11" x14ac:dyDescent="0.3">
      <c r="C135" s="3"/>
      <c r="I135" s="2"/>
      <c r="K135" s="2"/>
    </row>
    <row r="136" spans="3:11" x14ac:dyDescent="0.3">
      <c r="C136" s="3"/>
      <c r="I136" s="2"/>
      <c r="K136" s="2"/>
    </row>
    <row r="137" spans="3:11" x14ac:dyDescent="0.3">
      <c r="C137" s="3"/>
      <c r="I137" s="2"/>
      <c r="K137" s="2"/>
    </row>
    <row r="138" spans="3:11" x14ac:dyDescent="0.3">
      <c r="C138" s="3"/>
      <c r="I138" s="2"/>
      <c r="K138" s="2"/>
    </row>
    <row r="139" spans="3:11" x14ac:dyDescent="0.3">
      <c r="C139" s="3"/>
      <c r="I139" s="2"/>
      <c r="K139" s="2"/>
    </row>
    <row r="140" spans="3:11" x14ac:dyDescent="0.3">
      <c r="C140" s="3"/>
      <c r="I140" s="2"/>
      <c r="K140" s="2"/>
    </row>
    <row r="141" spans="3:11" x14ac:dyDescent="0.3">
      <c r="C141" s="3"/>
      <c r="I141" s="2"/>
      <c r="K141" s="2"/>
    </row>
    <row r="142" spans="3:11" x14ac:dyDescent="0.3">
      <c r="C142" s="3"/>
      <c r="I142" s="2"/>
      <c r="K142" s="2"/>
    </row>
    <row r="143" spans="3:11" x14ac:dyDescent="0.3">
      <c r="C143" s="3"/>
      <c r="I143" s="2"/>
      <c r="K143" s="2"/>
    </row>
    <row r="144" spans="3:11" x14ac:dyDescent="0.3">
      <c r="C144" s="3"/>
      <c r="I144" s="2"/>
      <c r="K144" s="2"/>
    </row>
    <row r="145" spans="3:11" x14ac:dyDescent="0.3">
      <c r="C145" s="3"/>
      <c r="I145" s="2"/>
      <c r="K145" s="2"/>
    </row>
    <row r="146" spans="3:11" x14ac:dyDescent="0.3">
      <c r="C146" s="3"/>
      <c r="I146" s="2"/>
      <c r="K146" s="2"/>
    </row>
    <row r="147" spans="3:11" x14ac:dyDescent="0.3">
      <c r="C147" s="3"/>
      <c r="I147" s="2"/>
      <c r="K147" s="2"/>
    </row>
    <row r="148" spans="3:11" x14ac:dyDescent="0.3">
      <c r="C148" s="3"/>
      <c r="I148" s="2"/>
      <c r="K148" s="2"/>
    </row>
    <row r="149" spans="3:11" x14ac:dyDescent="0.3">
      <c r="C149" s="3"/>
      <c r="I149" s="2"/>
      <c r="K149" s="2"/>
    </row>
    <row r="150" spans="3:11" x14ac:dyDescent="0.3">
      <c r="C150" s="3"/>
      <c r="I150" s="2"/>
      <c r="K150" s="2"/>
    </row>
    <row r="151" spans="3:11" x14ac:dyDescent="0.3">
      <c r="C151" s="3"/>
      <c r="I151" s="2"/>
      <c r="K151" s="2"/>
    </row>
    <row r="152" spans="3:11" x14ac:dyDescent="0.3">
      <c r="C152" s="3"/>
      <c r="I152" s="2"/>
      <c r="K152" s="2"/>
    </row>
    <row r="153" spans="3:11" x14ac:dyDescent="0.3">
      <c r="C153" s="3"/>
      <c r="I153" s="2"/>
      <c r="K153" s="2"/>
    </row>
    <row r="154" spans="3:11" x14ac:dyDescent="0.3">
      <c r="C154" s="3"/>
      <c r="I154" s="2"/>
      <c r="K154" s="2"/>
    </row>
    <row r="155" spans="3:11" x14ac:dyDescent="0.3">
      <c r="C155" s="3"/>
      <c r="I155" s="2"/>
      <c r="K155" s="2"/>
    </row>
    <row r="156" spans="3:11" x14ac:dyDescent="0.3">
      <c r="C156" s="3"/>
      <c r="I156" s="2"/>
      <c r="K156" s="2"/>
    </row>
    <row r="157" spans="3:11" x14ac:dyDescent="0.3">
      <c r="C157" s="3"/>
      <c r="I157" s="2"/>
      <c r="K157" s="2"/>
    </row>
    <row r="158" spans="3:11" x14ac:dyDescent="0.3">
      <c r="C158" s="3"/>
      <c r="I158" s="2"/>
      <c r="K158" s="2"/>
    </row>
    <row r="159" spans="3:11" x14ac:dyDescent="0.3">
      <c r="C159" s="3"/>
      <c r="I159" s="2"/>
      <c r="K159" s="2"/>
    </row>
    <row r="160" spans="3:11" x14ac:dyDescent="0.3">
      <c r="C160" s="3"/>
      <c r="I160" s="2"/>
      <c r="K160" s="2"/>
    </row>
    <row r="161" spans="3:11" x14ac:dyDescent="0.3">
      <c r="C161" s="3"/>
      <c r="I161" s="2"/>
      <c r="K161" s="2"/>
    </row>
    <row r="162" spans="3:11" x14ac:dyDescent="0.3">
      <c r="C162" s="3"/>
      <c r="I162" s="2"/>
      <c r="K162" s="2"/>
    </row>
    <row r="163" spans="3:11" x14ac:dyDescent="0.3">
      <c r="C163" s="3"/>
      <c r="I163" s="2"/>
      <c r="K163" s="2"/>
    </row>
    <row r="164" spans="3:11" x14ac:dyDescent="0.3">
      <c r="C164" s="3"/>
      <c r="I164" s="2"/>
      <c r="K164" s="2"/>
    </row>
    <row r="165" spans="3:11" x14ac:dyDescent="0.3">
      <c r="C165" s="3"/>
      <c r="I165" s="2"/>
      <c r="K165" s="2"/>
    </row>
    <row r="166" spans="3:11" x14ac:dyDescent="0.3">
      <c r="C166" s="3"/>
      <c r="I166" s="2"/>
      <c r="K166" s="2"/>
    </row>
    <row r="167" spans="3:11" x14ac:dyDescent="0.3">
      <c r="C167" s="3"/>
      <c r="I167" s="2"/>
      <c r="K167" s="2"/>
    </row>
    <row r="168" spans="3:11" x14ac:dyDescent="0.3">
      <c r="C168" s="3"/>
      <c r="I168" s="2"/>
      <c r="K168" s="2"/>
    </row>
    <row r="169" spans="3:11" x14ac:dyDescent="0.3">
      <c r="C169" s="3"/>
      <c r="I169" s="2"/>
      <c r="K169" s="2"/>
    </row>
    <row r="170" spans="3:11" x14ac:dyDescent="0.3">
      <c r="C170" s="3"/>
      <c r="I170" s="2"/>
      <c r="K170" s="2"/>
    </row>
    <row r="171" spans="3:11" x14ac:dyDescent="0.3">
      <c r="C171" s="3"/>
      <c r="I171" s="2"/>
      <c r="K171" s="2"/>
    </row>
    <row r="172" spans="3:11" x14ac:dyDescent="0.3">
      <c r="C172" s="3"/>
      <c r="I172" s="2"/>
      <c r="K172" s="2"/>
    </row>
    <row r="173" spans="3:11" x14ac:dyDescent="0.3">
      <c r="C173" s="3"/>
      <c r="I173" s="2"/>
      <c r="K173" s="2"/>
    </row>
    <row r="174" spans="3:11" x14ac:dyDescent="0.3">
      <c r="C174" s="3"/>
      <c r="I174" s="2"/>
      <c r="K174" s="2"/>
    </row>
    <row r="175" spans="3:11" x14ac:dyDescent="0.3">
      <c r="C175" s="3"/>
      <c r="I175" s="2"/>
      <c r="K175" s="2"/>
    </row>
    <row r="176" spans="3:11" x14ac:dyDescent="0.3">
      <c r="C176" s="3"/>
      <c r="I176" s="2"/>
      <c r="K176" s="2"/>
    </row>
    <row r="177" spans="3:11" x14ac:dyDescent="0.3">
      <c r="C177" s="3"/>
      <c r="I177" s="2"/>
      <c r="K177" s="2"/>
    </row>
    <row r="178" spans="3:11" x14ac:dyDescent="0.3">
      <c r="C178" s="3"/>
      <c r="I178" s="2"/>
      <c r="K178" s="2"/>
    </row>
    <row r="179" spans="3:11" x14ac:dyDescent="0.3">
      <c r="C179" s="3"/>
      <c r="I179" s="2"/>
      <c r="K179" s="2"/>
    </row>
    <row r="180" spans="3:11" x14ac:dyDescent="0.3">
      <c r="C180" s="3"/>
      <c r="I180" s="2"/>
      <c r="K180" s="2"/>
    </row>
    <row r="181" spans="3:11" x14ac:dyDescent="0.3">
      <c r="C181" s="3"/>
      <c r="I181" s="2"/>
      <c r="K181" s="2"/>
    </row>
    <row r="182" spans="3:11" x14ac:dyDescent="0.3">
      <c r="C182" s="3"/>
      <c r="I182" s="2"/>
      <c r="K182" s="2"/>
    </row>
  </sheetData>
  <conditionalFormatting sqref="L10:M18">
    <cfRule type="cellIs" dxfId="95" priority="3" stopIfTrue="1" operator="equal">
      <formula>"Não comprou"</formula>
    </cfRule>
    <cfRule type="cellIs" dxfId="94" priority="4" stopIfTrue="1" operator="equal">
      <formula>"Comprou"</formula>
    </cfRule>
  </conditionalFormatting>
  <conditionalFormatting sqref="J10:J18">
    <cfRule type="cellIs" dxfId="93" priority="1" operator="equal">
      <formula>"Frio"</formula>
    </cfRule>
    <cfRule type="cellIs" dxfId="92" priority="2" stopIfTrue="1" operator="equal">
      <formula>"Potencial"</formula>
    </cfRule>
  </conditionalFormatting>
  <dataValidations count="3">
    <dataValidation type="list" allowBlank="1" showInputMessage="1" showErrorMessage="1" sqref="L10:M18" xr:uid="{2189D3E9-1EF6-4A72-BB01-9FFC3FB241AB}">
      <formula1>"Comprou, Não comprou"</formula1>
    </dataValidation>
    <dataValidation type="list" allowBlank="1" showInputMessage="1" showErrorMessage="1" sqref="H10:H18" xr:uid="{2A1099D9-1002-4197-A4E0-99FB610CA97D}">
      <formula1>"Lançamento, Usado"</formula1>
    </dataValidation>
    <dataValidation type="list" allowBlank="1" showInputMessage="1" showErrorMessage="1" sqref="J10:J18" xr:uid="{54993D6D-8FEA-4F05-A6C3-77FFFB5246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17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COUNTIF(Tabela1[Visita],"&gt;0")</f>
        <v>0</v>
      </c>
      <c r="G5" s="14"/>
      <c r="H5" s="19"/>
      <c r="I5" s="14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COUNTIF(Tabela1[Data de Atendimento],"&gt;0")</f>
        <v>0</v>
      </c>
      <c r="G6" s="14"/>
      <c r="H6" s="19"/>
      <c r="I6" s="14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COUNTIF(Tabela1[Tipo de Cliente],cálculos!$B$10)</f>
        <v>0</v>
      </c>
      <c r="G7" s="14"/>
      <c r="H7" s="19"/>
      <c r="I7" s="14"/>
      <c r="J7" s="14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COUNTIF(Tabela1[Tipo de Cliente],cálculos!$B$11)</f>
        <v>0</v>
      </c>
      <c r="G8" s="14"/>
      <c r="H8" s="19"/>
      <c r="I8" s="14"/>
      <c r="J8" s="14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COUNTIF(Tabela1[Tipo de Cliente],cálculos!$B$12)</f>
        <v>0</v>
      </c>
      <c r="G9" s="14"/>
      <c r="H9" s="19"/>
      <c r="I9" s="14"/>
      <c r="J9" s="14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COUNTIF(Tabela1[Venda],cálculos!$B$4)</f>
        <v>0</v>
      </c>
      <c r="G10" s="14"/>
      <c r="H10" s="19"/>
      <c r="I10" s="14"/>
      <c r="J10" s="14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K15" s="14"/>
      <c r="L15" s="14"/>
      <c r="M15" s="14"/>
      <c r="N15" s="14"/>
      <c r="O15" s="14"/>
      <c r="P15" s="14"/>
    </row>
    <row r="16" spans="2:16" hidden="1" x14ac:dyDescent="0.3">
      <c r="K16" s="14"/>
      <c r="L16" s="14"/>
      <c r="M16" s="14"/>
      <c r="N16" s="14"/>
      <c r="O16" s="14"/>
      <c r="P16" s="14"/>
    </row>
    <row r="17" spans="3:16" hidden="1" x14ac:dyDescent="0.3">
      <c r="K17" s="14"/>
      <c r="L17" s="14"/>
      <c r="M17" s="14"/>
      <c r="N17" s="14"/>
      <c r="O17" s="14"/>
      <c r="P17" s="14"/>
    </row>
    <row r="18" spans="3:16" hidden="1" x14ac:dyDescent="0.3">
      <c r="K18" s="14"/>
      <c r="L18" s="14"/>
      <c r="M18" s="14"/>
      <c r="N18" s="14"/>
      <c r="O18" s="14"/>
      <c r="P18" s="14"/>
    </row>
    <row r="19" spans="3:16" hidden="1" x14ac:dyDescent="0.3"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A2:N182"/>
  <sheetViews>
    <sheetView showGridLines="0" showRowColHeaders="0" zoomScale="85" zoomScaleNormal="85" workbookViewId="0">
      <pane ySplit="2" topLeftCell="A3" activePane="bottomLeft" state="frozen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25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D15" s="4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27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87" priority="4" stopIfTrue="1" operator="equal">
      <formula>"Não comprou"</formula>
    </cfRule>
    <cfRule type="cellIs" dxfId="86" priority="5" stopIfTrue="1" operator="equal">
      <formula>"Comprou"</formula>
    </cfRule>
  </conditionalFormatting>
  <conditionalFormatting sqref="J10:J18">
    <cfRule type="cellIs" dxfId="85" priority="1" operator="equal">
      <formula>"Frio"</formula>
    </cfRule>
    <cfRule type="cellIs" dxfId="84" priority="2" stopIfTrue="1" operator="equal">
      <formula>"Potencial"</formula>
    </cfRule>
  </conditionalFormatting>
  <dataValidations count="3">
    <dataValidation type="list" allowBlank="1" showInputMessage="1" showErrorMessage="1" sqref="H10:H18" xr:uid="{F96A1ADF-F7A5-4E27-9629-E0B4B1ACB1D4}">
      <formula1>"Lançamento, Usado"</formula1>
    </dataValidation>
    <dataValidation type="list" allowBlank="1" showInputMessage="1" showErrorMessage="1" sqref="L10:M18" xr:uid="{2435672A-EC11-46C3-A943-818CE5E64A02}">
      <formula1>"Comprou, Não comprou"</formula1>
    </dataValidation>
    <dataValidation type="list" allowBlank="1" showInputMessage="1" showErrorMessage="1" sqref="J10:J18" xr:uid="{666C0EB0-CA7A-4173-8DBC-48B6A7EDEB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A1:Q22"/>
  <sheetViews>
    <sheetView showGridLines="0" showRowColHeaders="0" workbookViewId="0">
      <selection activeCell="K5" sqref="K5"/>
    </sheetView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.109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24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A2:N181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2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</sheetData>
  <conditionalFormatting sqref="L10:M17">
    <cfRule type="cellIs" dxfId="79" priority="4" stopIfTrue="1" operator="equal">
      <formula>"Não comprou"</formula>
    </cfRule>
    <cfRule type="cellIs" dxfId="78" priority="5" stopIfTrue="1" operator="equal">
      <formula>"Comprou"</formula>
    </cfRule>
  </conditionalFormatting>
  <conditionalFormatting sqref="J10:J18">
    <cfRule type="cellIs" dxfId="77" priority="1" operator="equal">
      <formula>"Frio"</formula>
    </cfRule>
    <cfRule type="cellIs" dxfId="76" priority="2" stopIfTrue="1" operator="equal">
      <formula>"Potencial"</formula>
    </cfRule>
  </conditionalFormatting>
  <dataValidations count="3">
    <dataValidation type="list" allowBlank="1" showInputMessage="1" showErrorMessage="1" sqref="L10:M17" xr:uid="{0F169F82-9333-4135-BC97-55A6E6149765}">
      <formula1>"Comprou, Não comprou"</formula1>
    </dataValidation>
    <dataValidation type="list" allowBlank="1" showInputMessage="1" showErrorMessage="1" sqref="H10:H18" xr:uid="{EABAB70B-3399-457B-A304-98C7185BC783}">
      <formula1>"Lançamento, Usado"</formula1>
    </dataValidation>
    <dataValidation type="list" allowBlank="1" showInputMessage="1" showErrorMessage="1" sqref="J10:J18" xr:uid="{C29FBFB7-F13B-465E-849F-FFD8A1369E8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4" sqref="C4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.6" customHeight="1" x14ac:dyDescent="0.3">
      <c r="C10" s="3"/>
      <c r="G10" s="8"/>
      <c r="I10" s="1"/>
      <c r="K10" s="1"/>
    </row>
    <row r="11" spans="2:12" ht="30" customHeight="1" x14ac:dyDescent="0.3">
      <c r="C11" s="3"/>
      <c r="D11" s="26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/>
    <row r="20" spans="3:11" ht="30" customHeight="1" x14ac:dyDescent="0.3"/>
    <row r="21" spans="3:11" ht="30" customHeight="1" x14ac:dyDescent="0.3"/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1" priority="4" stopIfTrue="1" operator="equal">
      <formula>"Não comprou"</formula>
    </cfRule>
    <cfRule type="cellIs" dxfId="70" priority="5" stopIfTrue="1" operator="equal">
      <formula>"Comprou"</formula>
    </cfRule>
  </conditionalFormatting>
  <conditionalFormatting sqref="J10:J18">
    <cfRule type="cellIs" dxfId="69" priority="1" operator="equal">
      <formula>"Frio"</formula>
    </cfRule>
    <cfRule type="cellIs" dxfId="68" priority="2" stopIfTrue="1" operator="equal">
      <formula>"Potencial"</formula>
    </cfRule>
  </conditionalFormatting>
  <dataValidations count="3">
    <dataValidation type="list" allowBlank="1" showInputMessage="1" showErrorMessage="1" sqref="L10:M18" xr:uid="{DABCED0C-196A-4FBB-AB3B-1A08B9EB3AFB}">
      <formula1>"Comprou, Não comprou"</formula1>
    </dataValidation>
    <dataValidation type="list" allowBlank="1" showInputMessage="1" showErrorMessage="1" sqref="H10:H18" xr:uid="{CB82B045-3620-4F96-9B7E-0E2CAEA86522}">
      <formula1>"Lançamento, Usado"</formula1>
    </dataValidation>
    <dataValidation type="list" allowBlank="1" showInputMessage="1" showErrorMessage="1" sqref="J10:J18" xr:uid="{8EB8F70D-A413-4864-8A78-8A2542949DA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8" width="8.88671875" hidden="1" customWidth="1"/>
    <col min="19" max="16384" width="8.88671875" hidden="1"/>
  </cols>
  <sheetData>
    <row r="1" spans="2:16" x14ac:dyDescent="0.3"/>
    <row r="2" spans="2:16" s="6" customFormat="1" ht="28.05" customHeight="1" x14ac:dyDescent="0.3">
      <c r="B2" s="7" t="s">
        <v>29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5" sqref="C5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bestFit="1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63" priority="3" stopIfTrue="1" operator="equal">
      <formula>"Não comprou"</formula>
    </cfRule>
    <cfRule type="cellIs" dxfId="62" priority="4" stopIfTrue="1" operator="equal">
      <formula>"Comprou"</formula>
    </cfRule>
  </conditionalFormatting>
  <conditionalFormatting sqref="J10:J18">
    <cfRule type="cellIs" dxfId="61" priority="1" operator="equal">
      <formula>"Frio"</formula>
    </cfRule>
    <cfRule type="cellIs" dxfId="60" priority="2" stopIfTrue="1" operator="equal">
      <formula>"Potencial"</formula>
    </cfRule>
  </conditionalFormatting>
  <dataValidations count="3">
    <dataValidation type="list" allowBlank="1" showInputMessage="1" showErrorMessage="1" sqref="H10:H18" xr:uid="{CF96C976-EFD9-43EE-BF4F-C7A676718BBE}">
      <formula1>"Lançamento, Usado"</formula1>
    </dataValidation>
    <dataValidation type="list" allowBlank="1" showInputMessage="1" showErrorMessage="1" sqref="L10:M18" xr:uid="{DE9660B9-ED09-4160-9B75-BCE57B5BEC31}">
      <formula1>"Comprou, Não comprou"</formula1>
    </dataValidation>
    <dataValidation type="list" allowBlank="1" showInputMessage="1" showErrorMessage="1" sqref="J10:J18" xr:uid="{F574FBA0-6094-47E0-8D7D-DE9B296529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7" sqref="C7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55" priority="3" stopIfTrue="1" operator="equal">
      <formula>"Não comprou"</formula>
    </cfRule>
    <cfRule type="cellIs" dxfId="54" priority="4" stopIfTrue="1" operator="equal">
      <formula>"Comprou"</formula>
    </cfRule>
  </conditionalFormatting>
  <conditionalFormatting sqref="J10:J18">
    <cfRule type="cellIs" dxfId="53" priority="1" operator="equal">
      <formula>"Frio"</formula>
    </cfRule>
    <cfRule type="cellIs" dxfId="52" priority="2" stopIfTrue="1" operator="equal">
      <formula>"Potencial"</formula>
    </cfRule>
  </conditionalFormatting>
  <dataValidations count="3">
    <dataValidation type="list" allowBlank="1" showInputMessage="1" showErrorMessage="1" sqref="H10:H18" xr:uid="{518FA548-6771-4350-B198-9E9E343429E5}">
      <formula1>"Lançamento, Usado"</formula1>
    </dataValidation>
    <dataValidation type="list" allowBlank="1" showInputMessage="1" showErrorMessage="1" sqref="L10:M18" xr:uid="{7764DC3F-2534-40FA-99E9-F0527079AF6B}">
      <formula1>"Comprou, Não comprou"</formula1>
    </dataValidation>
    <dataValidation type="list" allowBlank="1" showInputMessage="1" showErrorMessage="1" sqref="J10:J18" xr:uid="{965E889D-3B9C-47AD-8A90-D70830D05F1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7" sqref="C7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47" priority="4" stopIfTrue="1" operator="equal">
      <formula>"Não comprou"</formula>
    </cfRule>
    <cfRule type="cellIs" dxfId="46" priority="5" stopIfTrue="1" operator="equal">
      <formula>"Comprou"</formula>
    </cfRule>
  </conditionalFormatting>
  <conditionalFormatting sqref="J10:J18">
    <cfRule type="cellIs" dxfId="45" priority="1" operator="equal">
      <formula>"Frio"</formula>
    </cfRule>
    <cfRule type="cellIs" dxfId="44" priority="2" stopIfTrue="1" operator="equal">
      <formula>"Potencial"</formula>
    </cfRule>
  </conditionalFormatting>
  <dataValidations count="3">
    <dataValidation type="list" allowBlank="1" showInputMessage="1" showErrorMessage="1" sqref="L10:M18" xr:uid="{3D72A9AE-44D6-4A15-B16B-BA6149E5613A}">
      <formula1>"Comprou, Não comprou"</formula1>
    </dataValidation>
    <dataValidation type="list" allowBlank="1" showInputMessage="1" showErrorMessage="1" sqref="H10:H18" xr:uid="{C3163542-5F95-4BCC-A20F-12AE5D55E3CF}">
      <formula1>"Lançamento, Usado"</formula1>
    </dataValidation>
    <dataValidation type="list" allowBlank="1" showInputMessage="1" showErrorMessage="1" sqref="J10:J18" xr:uid="{E0634A65-2875-4828-966F-533077EDF7F7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9" priority="3" stopIfTrue="1" operator="equal">
      <formula>"Não comprou"</formula>
    </cfRule>
    <cfRule type="cellIs" dxfId="38" priority="4" stopIfTrue="1" operator="equal">
      <formula>"Comprou"</formula>
    </cfRule>
  </conditionalFormatting>
  <conditionalFormatting sqref="J10:J18">
    <cfRule type="cellIs" dxfId="37" priority="1" operator="equal">
      <formula>"Frio"</formula>
    </cfRule>
    <cfRule type="cellIs" dxfId="36" priority="2" stopIfTrue="1" operator="equal">
      <formula>"Potencial"</formula>
    </cfRule>
  </conditionalFormatting>
  <dataValidations count="3">
    <dataValidation type="list" allowBlank="1" showInputMessage="1" showErrorMessage="1" sqref="H10:H18" xr:uid="{D66EF257-FCCC-4057-BDED-9C8A12163FC1}">
      <formula1>"Lançamento, Usado"</formula1>
    </dataValidation>
    <dataValidation type="list" allowBlank="1" showInputMessage="1" showErrorMessage="1" sqref="L10:M18" xr:uid="{979EC75D-DB75-4344-9797-CAFBA5CFFF10}">
      <formula1>"Comprou, Não comprou"</formula1>
    </dataValidation>
    <dataValidation type="list" allowBlank="1" showInputMessage="1" showErrorMessage="1" sqref="J10:J18" xr:uid="{7BB10171-428A-4AF1-994C-8DAE8C7EF37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7" sqref="C7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1" priority="3" stopIfTrue="1" operator="equal">
      <formula>"Não comprou"</formula>
    </cfRule>
    <cfRule type="cellIs" dxfId="30" priority="4" stopIfTrue="1" operator="equal">
      <formula>"Comprou"</formula>
    </cfRule>
  </conditionalFormatting>
  <conditionalFormatting sqref="J10:J18">
    <cfRule type="cellIs" dxfId="29" priority="1" operator="equal">
      <formula>"Frio"</formula>
    </cfRule>
    <cfRule type="cellIs" dxfId="28" priority="2" stopIfTrue="1" operator="equal">
      <formula>"Potencial"</formula>
    </cfRule>
  </conditionalFormatting>
  <dataValidations count="3">
    <dataValidation type="list" allowBlank="1" showInputMessage="1" showErrorMessage="1" sqref="H10:H18" xr:uid="{C12C84A2-DBC6-40AA-BAEB-2012ACD208F6}">
      <formula1>"Lançamento, Usado"</formula1>
    </dataValidation>
    <dataValidation type="list" allowBlank="1" showInputMessage="1" showErrorMessage="1" sqref="L10:M18" xr:uid="{5ACFB94B-5C0D-4E60-878A-8EB23133E419}">
      <formula1>"Comprou, Não comprou"</formula1>
    </dataValidation>
    <dataValidation type="list" allowBlank="1" showInputMessage="1" showErrorMessage="1" sqref="J10:J18" xr:uid="{2EABA24A-B339-4217-9835-CC3A5B5804E6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23" priority="3" stopIfTrue="1" operator="equal">
      <formula>"Não comprou"</formula>
    </cfRule>
    <cfRule type="cellIs" dxfId="22" priority="4" stopIfTrue="1" operator="equal">
      <formula>"Comprou"</formula>
    </cfRule>
  </conditionalFormatting>
  <conditionalFormatting sqref="J10:J18">
    <cfRule type="cellIs" dxfId="21" priority="1" operator="equal">
      <formula>"Frio"</formula>
    </cfRule>
    <cfRule type="cellIs" dxfId="20" priority="2" stopIfTrue="1" operator="equal">
      <formula>"Potencial"</formula>
    </cfRule>
  </conditionalFormatting>
  <dataValidations count="3">
    <dataValidation type="list" allowBlank="1" showInputMessage="1" showErrorMessage="1" sqref="H10:H18" xr:uid="{76B34B4B-6AC0-474D-9E42-A914E6F0CAA8}">
      <formula1>"Lançamento, Usado"</formula1>
    </dataValidation>
    <dataValidation type="list" allowBlank="1" showInputMessage="1" showErrorMessage="1" sqref="L10:M18" xr:uid="{9D982D62-E085-47AE-ABAA-DCC8981337C0}">
      <formula1>"Comprou, Não comprou"</formula1>
    </dataValidation>
    <dataValidation type="list" allowBlank="1" showInputMessage="1" showErrorMessage="1" sqref="J10:J18" xr:uid="{E5D88179-87DD-4C65-960F-86880643FB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15" priority="3" stopIfTrue="1" operator="equal">
      <formula>"Não comprou"</formula>
    </cfRule>
    <cfRule type="cellIs" dxfId="14" priority="4" stopIfTrue="1" operator="equal">
      <formula>"Comprou"</formula>
    </cfRule>
  </conditionalFormatting>
  <conditionalFormatting sqref="J10:J18">
    <cfRule type="cellIs" dxfId="13" priority="1" operator="equal">
      <formula>"Frio"</formula>
    </cfRule>
    <cfRule type="cellIs" dxfId="12" priority="2" stopIfTrue="1" operator="equal">
      <formula>"Potencial"</formula>
    </cfRule>
  </conditionalFormatting>
  <dataValidations count="3">
    <dataValidation type="list" allowBlank="1" showInputMessage="1" showErrorMessage="1" sqref="H10:H18" xr:uid="{34EA6A95-40D8-4D08-8E22-39F1A073C7F7}">
      <formula1>"Lançamento, Usado"</formula1>
    </dataValidation>
    <dataValidation type="list" allowBlank="1" showInputMessage="1" showErrorMessage="1" sqref="L10:M18" xr:uid="{5E9BB565-863D-4DAB-B38B-6BEBE3EF922F}">
      <formula1>"Comprou, Não comprou"</formula1>
    </dataValidation>
    <dataValidation type="list" allowBlank="1" showInputMessage="1" showErrorMessage="1" sqref="J10:J18" xr:uid="{B3F4E5A4-50F5-4299-A01B-8DBFF8D8A8F3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441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A2:M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5" sqref="C5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6384" width="8.88671875" hidden="1"/>
  </cols>
  <sheetData>
    <row r="2" spans="2:12" s="6" customFormat="1" ht="28.05" customHeight="1" x14ac:dyDescent="0.3">
      <c r="B2" s="7" t="s">
        <v>44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" priority="3" stopIfTrue="1" operator="equal">
      <formula>"Não comprou"</formula>
    </cfRule>
    <cfRule type="cellIs" dxfId="6" priority="4" stopIfTrue="1" operator="equal">
      <formula>"Comprou"</formula>
    </cfRule>
  </conditionalFormatting>
  <conditionalFormatting sqref="J10:J18">
    <cfRule type="cellIs" dxfId="5" priority="1" operator="equal">
      <formula>"Frio"</formula>
    </cfRule>
    <cfRule type="cellIs" dxfId="4" priority="2" stopIfTrue="1" operator="equal">
      <formula>"Potencial"</formula>
    </cfRule>
  </conditionalFormatting>
  <dataValidations count="3">
    <dataValidation type="list" allowBlank="1" showInputMessage="1" showErrorMessage="1" sqref="H10:H18" xr:uid="{7A5BAE83-4540-4D83-B749-94EC879E6C39}">
      <formula1>"Lançamento, Usado"</formula1>
    </dataValidation>
    <dataValidation type="list" allowBlank="1" showInputMessage="1" showErrorMessage="1" sqref="L10:M18" xr:uid="{3921E43A-8B00-4899-A821-3A2FF887BFDD}">
      <formula1>"Comprou, Não comprou"</formula1>
    </dataValidation>
    <dataValidation type="list" allowBlank="1" showInputMessage="1" showErrorMessage="1" sqref="J10:J18" xr:uid="{D181ABAA-665B-40D0-9B13-34C2B41DC04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77734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COUNTIF(Tabela11213141516171819202122[Visita],"&gt;0")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COUNTIF(Tabela11213141516171819202122[Data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COUNTIF(Tabela11213141516171819202122[Tipo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COUNTIF(Tabela11213141516171819202122[Tipo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COUNTIF(Tabela11213141516171819202122[Tipo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COUNTIF(Tabela11213141516171819202122[Venda],cálculos!$B$4)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A1:Q161"/>
  <sheetViews>
    <sheetView showGridLines="0" showRowColHeaders="0" topLeftCell="A129" workbookViewId="0">
      <selection activeCell="D157" sqref="D157"/>
    </sheetView>
  </sheetViews>
  <sheetFormatPr defaultColWidth="0" defaultRowHeight="14.4" zeroHeight="1" x14ac:dyDescent="0.3"/>
  <cols>
    <col min="1" max="3" width="8.88671875" customWidth="1"/>
    <col min="4" max="4" width="46.77734375" customWidth="1"/>
    <col min="5" max="5" width="13.77734375" bestFit="1" customWidth="1"/>
    <col min="6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22</v>
      </c>
    </row>
    <row r="3" spans="2:16" x14ac:dyDescent="0.3"/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52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53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58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59</v>
      </c>
      <c r="E12" s="12">
        <f>COUNTIF(Tabela1[Tipo de Cliente],cálculos!$B$12)+COUNTIF(Tabela112[Tipo de Cliente],cálculos!$B$12)+COUNTIF(Tabela11213[Tipo de Cliente],cálculos!$B$12)+COUNTIF(Tabela1121314[Tipo de Cliente],cálculos!$B$12)+COUNTIF(Tabela112131415[Tipo de Cliente],cálculos!$B$12)+COUNTIF(Tabela11213141516[Tipo de Cliente],cálculos!$B$12)+COUNTIF(Tabela1121314151617[Tipo de Cliente],cálculos!$B$12)+COUNTIF(Tabela112131415161718[Tipo de Cliente],cálculos!$B$12)+COUNTIF(Tabela11213141516171819[Tipo de Cliente],cálculos!$B$12)+COUNTIF(Tabela1121314151617181920[Tipo de Cliente],cálculos!$B$12)+COUNTIF(Tabela112131415161718192021[Tipo de Cliente],cálculos!$B$12)+COUNTIF(Tabela11213141516171819202122[Tipo de Cliente],cálculos!$B$12)</f>
        <v>0</v>
      </c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ht="18" x14ac:dyDescent="0.35">
      <c r="C13" s="18"/>
      <c r="D13" s="13" t="s">
        <v>23</v>
      </c>
      <c r="E13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x14ac:dyDescent="0.3">
      <c r="C20" s="18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9"/>
    </row>
    <row r="21" spans="3:16" ht="15" thickBot="1" x14ac:dyDescent="0.35">
      <c r="C21" s="20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21"/>
    </row>
    <row r="22" spans="3:16" x14ac:dyDescent="0.3"/>
    <row r="23" spans="3:16" x14ac:dyDescent="0.3"/>
    <row r="24" spans="3:16" ht="15" thickBot="1" x14ac:dyDescent="0.35"/>
    <row r="25" spans="3:16" x14ac:dyDescent="0.3">
      <c r="C25" s="16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7"/>
    </row>
    <row r="26" spans="3:16" x14ac:dyDescent="0.3">
      <c r="C26" s="18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ht="18" x14ac:dyDescent="0.35">
      <c r="C27" s="18"/>
      <c r="D27" s="24" t="s">
        <v>46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x14ac:dyDescent="0.3">
      <c r="C28" s="18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1" t="s">
        <v>13</v>
      </c>
      <c r="E29" s="22">
        <f>COUNTIF(Tabela1[Visita],"&gt;0")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25</v>
      </c>
      <c r="E30" s="23">
        <f>COUNTIF(Tabela112[Visita],"&gt;0")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26</v>
      </c>
      <c r="E31" s="12">
        <f>COUNTIF(Tabela11213[Visita],"&gt;0")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28</v>
      </c>
      <c r="E32" s="12">
        <f>COUNTIF(Tabela1121314[Visita],"&gt;0")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30</v>
      </c>
      <c r="E33" s="23">
        <f>COUNTIF(Tabela112131415[Visita],"&gt;0")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32</v>
      </c>
      <c r="E34" s="23">
        <f>COUNTIF(Tabela11213141516[Visita],"&gt;0")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34</v>
      </c>
      <c r="E35" s="12">
        <f>COUNTIF(Tabela1121314151617[Visita],"&gt;0")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36</v>
      </c>
      <c r="E36" s="12">
        <f>COUNTIF(Tabela112131415161718[Visita],"&gt;0")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38</v>
      </c>
      <c r="E37" s="23">
        <f>COUNTIF(Tabela11213141516171819[Visita],"&gt;0")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2" t="s">
        <v>40</v>
      </c>
      <c r="E38" s="23">
        <f>COUNTIF(Tabela1121314151617181920[Visita],"&gt;0")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42</v>
      </c>
      <c r="E39" s="12">
        <f>COUNTIF(Tabela112131415161718192021[Visita],"&gt;0")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ht="18" x14ac:dyDescent="0.35">
      <c r="C40" s="18"/>
      <c r="D40" s="13" t="s">
        <v>44</v>
      </c>
      <c r="E40" s="13">
        <f>COUNTIF(Tabela11213141516171819202122[Visita],"&gt;0")</f>
        <v>0</v>
      </c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x14ac:dyDescent="0.3">
      <c r="C41" s="1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9"/>
    </row>
    <row r="42" spans="3:16" ht="15" thickBot="1" x14ac:dyDescent="0.35">
      <c r="C42" s="20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21"/>
    </row>
    <row r="43" spans="3:16" x14ac:dyDescent="0.3"/>
    <row r="44" spans="3:16" x14ac:dyDescent="0.3"/>
    <row r="45" spans="3:16" ht="15" thickBot="1" x14ac:dyDescent="0.35"/>
    <row r="46" spans="3:16" x14ac:dyDescent="0.3">
      <c r="C46" s="16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7"/>
    </row>
    <row r="47" spans="3:16" ht="18" x14ac:dyDescent="0.35">
      <c r="C47" s="18"/>
      <c r="D47" s="24" t="s">
        <v>47</v>
      </c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x14ac:dyDescent="0.3">
      <c r="C48" s="18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1" t="s">
        <v>13</v>
      </c>
      <c r="E49" s="22">
        <f>COUNTIF(Tabela1[Data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25</v>
      </c>
      <c r="E50" s="23">
        <f>COUNTIF(Tabela112[Data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26</v>
      </c>
      <c r="E51" s="12">
        <f>COUNTIF(Tabela11213[Data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28</v>
      </c>
      <c r="E52" s="12">
        <f>COUNTIF(Tabela1121314[Data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30</v>
      </c>
      <c r="E53" s="23">
        <f>COUNTIF(Tabela112131415[Data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32</v>
      </c>
      <c r="E54" s="23">
        <f>COUNTIF(Tabela11213141516[Data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34</v>
      </c>
      <c r="E55" s="12">
        <f>COUNTIF(Tabela1121314151617[Data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36</v>
      </c>
      <c r="E56" s="12">
        <f>COUNTIF(Tabela112131415161718[Data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38</v>
      </c>
      <c r="E57" s="23">
        <f>COUNTIF(Tabela11213141516171819[Data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2" t="s">
        <v>40</v>
      </c>
      <c r="E58" s="23">
        <f>COUNTIF(Tabela1121314151617181920[Data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42</v>
      </c>
      <c r="E59" s="12">
        <f>COUNTIF(Tabela112131415161718192021[Data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ht="18" x14ac:dyDescent="0.35">
      <c r="C60" s="18"/>
      <c r="D60" s="13" t="s">
        <v>44</v>
      </c>
      <c r="E60" s="13">
        <f>COUNTIF(Tabela11213141516171819202122[Data de Atendimento],"&gt;0")</f>
        <v>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x14ac:dyDescent="0.3">
      <c r="C61" s="18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9"/>
    </row>
    <row r="62" spans="3:16" ht="15" thickBot="1" x14ac:dyDescent="0.35">
      <c r="C62" s="20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21"/>
    </row>
    <row r="63" spans="3:16" x14ac:dyDescent="0.3"/>
    <row r="64" spans="3:16" x14ac:dyDescent="0.3"/>
    <row r="65" spans="3:16" ht="15" thickBot="1" x14ac:dyDescent="0.35"/>
    <row r="66" spans="3:16" ht="18" x14ac:dyDescent="0.35">
      <c r="C66" s="25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7"/>
    </row>
    <row r="67" spans="3:16" ht="18" x14ac:dyDescent="0.35">
      <c r="C67" s="18"/>
      <c r="D67" s="24" t="s">
        <v>48</v>
      </c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x14ac:dyDescent="0.3">
      <c r="C68" s="18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1" t="s">
        <v>13</v>
      </c>
      <c r="E69" s="22">
        <f>COUNTIF(Tabela1[Tipo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25</v>
      </c>
      <c r="E70" s="23">
        <f>COUNTIF(Tabela112[Tipo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26</v>
      </c>
      <c r="E71" s="12">
        <f>COUNTIF(Tabela11213[Tipo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28</v>
      </c>
      <c r="E72" s="12">
        <f>COUNTIF(Tabela1121314[Tipo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30</v>
      </c>
      <c r="E73" s="23">
        <f>COUNTIF(Tabela112131415[Tipo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32</v>
      </c>
      <c r="E74" s="23">
        <f>COUNTIF(Tabela11213141516[Tipo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34</v>
      </c>
      <c r="E75" s="12">
        <f>COUNTIF(Tabela1121314151617[Tipo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36</v>
      </c>
      <c r="E76" s="12">
        <f>COUNTIF(Tabela112131415161718[Tipo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38</v>
      </c>
      <c r="E77" s="23">
        <f>COUNTIF(Tabela11213141516171819[Tipo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2" t="s">
        <v>40</v>
      </c>
      <c r="E78" s="23">
        <f>COUNTIF(Tabela1121314151617181920[Tipo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42</v>
      </c>
      <c r="E79" s="12">
        <f>COUNTIF(Tabela112131415161718192021[Tipo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ht="18" x14ac:dyDescent="0.35">
      <c r="C80" s="18"/>
      <c r="D80" s="13" t="s">
        <v>44</v>
      </c>
      <c r="E80" s="13">
        <f>COUNTIF(Tabela11213141516171819202122[Tipo de Cliente],cálculos!$B$10)</f>
        <v>0</v>
      </c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x14ac:dyDescent="0.3">
      <c r="C82" s="18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9"/>
    </row>
    <row r="83" spans="3:16" ht="15" thickBot="1" x14ac:dyDescent="0.35">
      <c r="C83" s="20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21"/>
    </row>
    <row r="84" spans="3:16" x14ac:dyDescent="0.3"/>
    <row r="85" spans="3:16" x14ac:dyDescent="0.3"/>
    <row r="86" spans="3:16" ht="15" thickBot="1" x14ac:dyDescent="0.35"/>
    <row r="87" spans="3:16" x14ac:dyDescent="0.3"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7"/>
    </row>
    <row r="88" spans="3:16" ht="18" x14ac:dyDescent="0.35">
      <c r="C88" s="18"/>
      <c r="D88" s="24" t="s">
        <v>54</v>
      </c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x14ac:dyDescent="0.3">
      <c r="C89" s="18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1" t="s">
        <v>13</v>
      </c>
      <c r="E90" s="22">
        <f>COUNTIF(Tabela1[Tipo de Cliente],cálculos!$B$11)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25</v>
      </c>
      <c r="E91" s="23">
        <f>COUNTIF(Tabela112[Tipo de Cliente],cálculos!$B$11)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26</v>
      </c>
      <c r="E92" s="12">
        <f>COUNTIF(Tabela11213[Tipo de Cliente],cálculos!$B$11)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28</v>
      </c>
      <c r="E93" s="12">
        <f>COUNTIF(Tabela1121314[Tipo de Cliente],cálculos!$B$11)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30</v>
      </c>
      <c r="E94" s="23">
        <f>COUNTIF(Tabela112131415[Tipo de Cliente],cálculos!$B$11)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32</v>
      </c>
      <c r="E95" s="23">
        <f>COUNTIF(Tabela11213141516[Tipo de Cliente],cálculos!$B$11)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34</v>
      </c>
      <c r="E96" s="12">
        <f>COUNTIF(Tabela1121314151617[Tipo de Cliente],cálculos!$B$11)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36</v>
      </c>
      <c r="E97" s="12">
        <f>COUNTIF(Tabela112131415161718[Tipo de Cliente],cálculos!$B$11)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38</v>
      </c>
      <c r="E98" s="23">
        <f>COUNTIF(Tabela11213141516171819[Tipo de Cliente],cálculos!$B$11)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2" t="s">
        <v>40</v>
      </c>
      <c r="E99" s="23">
        <f>COUNTIF(Tabela1121314151617181920[Tipo de Cliente],cálculos!$B$11)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42</v>
      </c>
      <c r="E100" s="12">
        <f>COUNTIF(Tabela112131415161718192021[Tipo de Cliente],cálculos!$B$11)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ht="18" x14ac:dyDescent="0.35">
      <c r="C101" s="18"/>
      <c r="D101" s="13" t="s">
        <v>44</v>
      </c>
      <c r="E101" s="13">
        <f>COUNTIF(Tabela11213141516171819202122[Tipo de Cliente],cálculos!$B$11)</f>
        <v>0</v>
      </c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9"/>
    </row>
    <row r="102" spans="3:16" x14ac:dyDescent="0.3">
      <c r="C102" s="18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9"/>
    </row>
    <row r="103" spans="3:16" x14ac:dyDescent="0.3">
      <c r="C103" s="18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9"/>
    </row>
    <row r="104" spans="3:16" x14ac:dyDescent="0.3">
      <c r="C104" s="18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9"/>
    </row>
    <row r="105" spans="3:16" ht="15" thickBot="1" x14ac:dyDescent="0.35">
      <c r="C105" s="20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21"/>
    </row>
    <row r="106" spans="3:16" x14ac:dyDescent="0.3"/>
    <row r="107" spans="3:16" x14ac:dyDescent="0.3"/>
    <row r="108" spans="3:16" x14ac:dyDescent="0.3"/>
    <row r="109" spans="3:16" ht="15" thickBot="1" x14ac:dyDescent="0.35"/>
    <row r="110" spans="3:16" x14ac:dyDescent="0.3"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7"/>
    </row>
    <row r="111" spans="3:16" ht="18" x14ac:dyDescent="0.35">
      <c r="C111" s="18"/>
      <c r="D111" s="24" t="s">
        <v>57</v>
      </c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9"/>
    </row>
    <row r="112" spans="3:16" x14ac:dyDescent="0.3">
      <c r="C112" s="18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9"/>
    </row>
    <row r="113" spans="3:16" ht="18" x14ac:dyDescent="0.35">
      <c r="C113" s="18"/>
      <c r="D113" s="11" t="s">
        <v>13</v>
      </c>
      <c r="E113" s="22">
        <f>COUNTIF(Tabela1[Tipo de Cliente],cálculos!$B$12)</f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9"/>
    </row>
    <row r="114" spans="3:16" ht="18" x14ac:dyDescent="0.35">
      <c r="C114" s="18"/>
      <c r="D114" s="12" t="s">
        <v>25</v>
      </c>
      <c r="E114" s="23">
        <f>COUNTIF(Tabela112[Tipo de Cliente],cálculos!$B$12)</f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9"/>
    </row>
    <row r="115" spans="3:16" ht="18" x14ac:dyDescent="0.35">
      <c r="C115" s="18"/>
      <c r="D115" s="12" t="s">
        <v>26</v>
      </c>
      <c r="E115" s="12">
        <f>COUNTIF(Tabela11213[Tipo de Cliente],cálculos!$B$12)</f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9"/>
    </row>
    <row r="116" spans="3:16" ht="18" x14ac:dyDescent="0.35">
      <c r="C116" s="18"/>
      <c r="D116" s="12" t="s">
        <v>28</v>
      </c>
      <c r="E116" s="12">
        <f>COUNTIF(Tabela1121314[Tipo de Cliente],cálculos!$B$12)</f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9"/>
    </row>
    <row r="117" spans="3:16" ht="18" x14ac:dyDescent="0.35">
      <c r="C117" s="18"/>
      <c r="D117" s="12" t="s">
        <v>30</v>
      </c>
      <c r="E117" s="23">
        <f>COUNTIF(Tabela112131415[Tipo de Cliente],cálculos!$B$12)</f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9"/>
    </row>
    <row r="118" spans="3:16" ht="18" x14ac:dyDescent="0.35">
      <c r="C118" s="18"/>
      <c r="D118" s="12" t="s">
        <v>32</v>
      </c>
      <c r="E118" s="23">
        <f>COUNTIF(Tabela11213141516[Tipo de Cliente],cálculos!$B$12)</f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9"/>
    </row>
    <row r="119" spans="3:16" ht="18" x14ac:dyDescent="0.35">
      <c r="C119" s="18"/>
      <c r="D119" s="12" t="s">
        <v>34</v>
      </c>
      <c r="E119" s="12">
        <f>COUNTIF(Tabela1121314151617[Tipo de Cliente],cálculos!$B$12)</f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9"/>
    </row>
    <row r="120" spans="3:16" ht="18" x14ac:dyDescent="0.35">
      <c r="C120" s="18"/>
      <c r="D120" s="12" t="s">
        <v>36</v>
      </c>
      <c r="E120" s="12">
        <f>COUNTIF(Tabela112131415161718[Tipo de Cliente],cálculos!$B$12)</f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9"/>
    </row>
    <row r="121" spans="3:16" ht="18" x14ac:dyDescent="0.35">
      <c r="C121" s="18"/>
      <c r="D121" s="12" t="s">
        <v>38</v>
      </c>
      <c r="E121" s="23">
        <f>COUNTIF(Tabela11213141516171819[Tipo de Cliente],cálculos!$B$12)</f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9"/>
    </row>
    <row r="122" spans="3:16" ht="18" x14ac:dyDescent="0.35">
      <c r="C122" s="18"/>
      <c r="D122" s="12" t="s">
        <v>40</v>
      </c>
      <c r="E122" s="23">
        <f>COUNTIF(Tabela1121314151617181920[Tipo de Cliente],cálculos!$B$12)</f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9"/>
    </row>
    <row r="123" spans="3:16" ht="18" x14ac:dyDescent="0.35">
      <c r="C123" s="18"/>
      <c r="D123" s="13" t="s">
        <v>42</v>
      </c>
      <c r="E123" s="12">
        <f>COUNTIF(Tabela112131415161718192021[Tipo de Cliente],cálculos!$B$12)</f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9"/>
    </row>
    <row r="124" spans="3:16" ht="18" x14ac:dyDescent="0.35">
      <c r="C124" s="18"/>
      <c r="D124" s="13" t="s">
        <v>44</v>
      </c>
      <c r="E124" s="13">
        <f>COUNTIF(Tabela11213141516171819202122[Tipo de Cliente],cálculos!$B$12)</f>
        <v>0</v>
      </c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9"/>
    </row>
    <row r="125" spans="3:16" x14ac:dyDescent="0.3">
      <c r="C125" s="18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9"/>
    </row>
    <row r="126" spans="3:16" x14ac:dyDescent="0.3">
      <c r="C126" s="18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9"/>
    </row>
    <row r="127" spans="3:16" x14ac:dyDescent="0.3">
      <c r="C127" s="18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9"/>
    </row>
    <row r="128" spans="3:16" ht="15" thickBot="1" x14ac:dyDescent="0.35">
      <c r="C128" s="20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21"/>
    </row>
    <row r="129" spans="3:16" x14ac:dyDescent="0.3"/>
    <row r="130" spans="3:16" x14ac:dyDescent="0.3"/>
    <row r="131" spans="3:16" x14ac:dyDescent="0.3"/>
    <row r="132" spans="3:16" ht="15" thickBot="1" x14ac:dyDescent="0.35"/>
    <row r="133" spans="3:16" x14ac:dyDescent="0.3"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7"/>
    </row>
    <row r="134" spans="3:16" ht="18" x14ac:dyDescent="0.35">
      <c r="C134" s="18"/>
      <c r="D134" s="24" t="s">
        <v>49</v>
      </c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9"/>
    </row>
    <row r="135" spans="3:16" x14ac:dyDescent="0.3">
      <c r="C135" s="18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9"/>
    </row>
    <row r="136" spans="3:16" ht="18" x14ac:dyDescent="0.35">
      <c r="C136" s="18"/>
      <c r="D136" s="11" t="s">
        <v>13</v>
      </c>
      <c r="E136" s="22">
        <f>COUNTIF(Tabela1[Venda],cálculos!$B$4)</f>
        <v>0</v>
      </c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9"/>
    </row>
    <row r="137" spans="3:16" ht="18" x14ac:dyDescent="0.35">
      <c r="C137" s="18"/>
      <c r="D137" s="12" t="s">
        <v>25</v>
      </c>
      <c r="E137" s="23">
        <f>COUNTIF(Tabela112[Venda],cálculos!$B$4)</f>
        <v>0</v>
      </c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9"/>
    </row>
    <row r="138" spans="3:16" ht="18" x14ac:dyDescent="0.35">
      <c r="C138" s="18"/>
      <c r="D138" s="12" t="s">
        <v>26</v>
      </c>
      <c r="E138" s="12">
        <f>COUNTIF(Tabela11213[Venda],cálculos!$B$4)</f>
        <v>0</v>
      </c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9"/>
    </row>
    <row r="139" spans="3:16" ht="18" x14ac:dyDescent="0.35">
      <c r="C139" s="18"/>
      <c r="D139" s="12" t="s">
        <v>28</v>
      </c>
      <c r="E139" s="12">
        <f>COUNTIF(Tabela1121314[Venda],cálculos!$B$4)</f>
        <v>0</v>
      </c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9"/>
    </row>
    <row r="140" spans="3:16" ht="18" x14ac:dyDescent="0.35">
      <c r="C140" s="18"/>
      <c r="D140" s="12" t="s">
        <v>30</v>
      </c>
      <c r="E140" s="23">
        <f>COUNTIF(Tabela112131415[Venda],cálculos!$B$4)</f>
        <v>0</v>
      </c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9"/>
    </row>
    <row r="141" spans="3:16" ht="18" x14ac:dyDescent="0.35">
      <c r="C141" s="18"/>
      <c r="D141" s="12" t="s">
        <v>32</v>
      </c>
      <c r="E141" s="23">
        <f>COUNTIF(Tabela11213141516[Venda],cálculos!$B$4)</f>
        <v>0</v>
      </c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9"/>
    </row>
    <row r="142" spans="3:16" ht="18" x14ac:dyDescent="0.35">
      <c r="C142" s="18"/>
      <c r="D142" s="12" t="s">
        <v>34</v>
      </c>
      <c r="E142" s="12">
        <f>COUNTIF(Tabela1121314151617[Venda],cálculos!$B$4)</f>
        <v>0</v>
      </c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9"/>
    </row>
    <row r="143" spans="3:16" ht="18" x14ac:dyDescent="0.35">
      <c r="C143" s="18"/>
      <c r="D143" s="12" t="s">
        <v>36</v>
      </c>
      <c r="E143" s="12">
        <f>COUNTIF(Tabela112131415161718[Venda],cálculos!$B$4)</f>
        <v>0</v>
      </c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9"/>
    </row>
    <row r="144" spans="3:16" ht="18" x14ac:dyDescent="0.35">
      <c r="C144" s="18"/>
      <c r="D144" s="12" t="s">
        <v>38</v>
      </c>
      <c r="E144" s="23">
        <f>COUNTIF(Tabela11213141516171819[Venda],cálculos!$B$4)</f>
        <v>0</v>
      </c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9"/>
    </row>
    <row r="145" spans="3:16" ht="18" x14ac:dyDescent="0.35">
      <c r="C145" s="18"/>
      <c r="D145" s="12" t="s">
        <v>40</v>
      </c>
      <c r="E145" s="23">
        <f>COUNTIF(Tabela1121314151617181920[Venda],cálculos!$B$4)</f>
        <v>0</v>
      </c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9"/>
    </row>
    <row r="146" spans="3:16" ht="18" x14ac:dyDescent="0.35">
      <c r="C146" s="18"/>
      <c r="D146" s="13" t="s">
        <v>42</v>
      </c>
      <c r="E146" s="12">
        <f>COUNTIF(Tabela112131415161718192021[Venda],cálculos!$B$4)</f>
        <v>0</v>
      </c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9"/>
    </row>
    <row r="147" spans="3:16" ht="18" x14ac:dyDescent="0.35">
      <c r="C147" s="18"/>
      <c r="D147" s="13" t="s">
        <v>44</v>
      </c>
      <c r="E147" s="13">
        <f>COUNTIF(Tabela11213141516171819202122[Venda],cálculos!$B$4)</f>
        <v>0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9"/>
    </row>
    <row r="148" spans="3:16" ht="15" thickBot="1" x14ac:dyDescent="0.35">
      <c r="C148" s="20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21"/>
    </row>
    <row r="149" spans="3:16" x14ac:dyDescent="0.3"/>
    <row r="150" spans="3:16" x14ac:dyDescent="0.3"/>
    <row r="151" spans="3:16" x14ac:dyDescent="0.3"/>
    <row r="152" spans="3:16" x14ac:dyDescent="0.3"/>
    <row r="153" spans="3:16" x14ac:dyDescent="0.3"/>
    <row r="154" spans="3:16" x14ac:dyDescent="0.3"/>
    <row r="155" spans="3:16" x14ac:dyDescent="0.3"/>
    <row r="156" spans="3:16" x14ac:dyDescent="0.3"/>
    <row r="157" spans="3:16" x14ac:dyDescent="0.3"/>
    <row r="158" spans="3:16" hidden="1" x14ac:dyDescent="0.3"/>
    <row r="159" spans="3:16" hidden="1" x14ac:dyDescent="0.3"/>
    <row r="160" spans="3:16" hidden="1" x14ac:dyDescent="0.3"/>
    <row r="161" hidden="1" x14ac:dyDescent="0.3"/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2"/>
  <sheetViews>
    <sheetView workbookViewId="0">
      <selection activeCell="E13" sqref="E13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  <row r="12" spans="2:2" x14ac:dyDescent="0.3">
      <c r="B12" t="s">
        <v>56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Menu</vt:lpstr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2020-05-12T17:44:10Z</dcterms:modified>
</cp:coreProperties>
</file>