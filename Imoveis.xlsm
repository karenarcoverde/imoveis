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tables/table8.xml" ContentType="application/vnd.openxmlformats-officedocument.spreadsheetml.table+xml"/>
  <Override PartName="/xl/comments8.xml" ContentType="application/vnd.openxmlformats-officedocument.spreadsheetml.comment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tables/table10.xml" ContentType="application/vnd.openxmlformats-officedocument.spreadsheetml.table+xml"/>
  <Override PartName="/xl/comments10.xml" ContentType="application/vnd.openxmlformats-officedocument.spreadsheetml.comments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tables/table11.xml" ContentType="application/vnd.openxmlformats-officedocument.spreadsheetml.table+xml"/>
  <Override PartName="/xl/comments11.xml" ContentType="application/vnd.openxmlformats-officedocument.spreadsheetml.comments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tables/table12.xml" ContentType="application/vnd.openxmlformats-officedocument.spreadsheetml.table+xml"/>
  <Override PartName="/xl/comments12.xml" ContentType="application/vnd.openxmlformats-officedocument.spreadsheetml.comments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Karen\Excel\Imóveis\"/>
    </mc:Choice>
  </mc:AlternateContent>
  <xr:revisionPtr revIDLastSave="0" documentId="13_ncr:1_{0C1E6938-99F7-497F-97B0-C112663509E0}" xr6:coauthVersionLast="45" xr6:coauthVersionMax="45" xr10:uidLastSave="{00000000-0000-0000-0000-000000000000}"/>
  <bookViews>
    <workbookView xWindow="-108" yWindow="-108" windowWidth="23256" windowHeight="12576" xr2:uid="{2DBF6239-EF66-478B-94C4-57E5C69312C3}"/>
  </bookViews>
  <sheets>
    <sheet name="Mês 1" sheetId="1" r:id="rId1"/>
    <sheet name="Análise Mês 1" sheetId="10" r:id="rId2"/>
    <sheet name="Mês 2" sheetId="40" r:id="rId3"/>
    <sheet name="Análise Mês 2" sheetId="41" r:id="rId4"/>
    <sheet name="Mês 3" sheetId="42" r:id="rId5"/>
    <sheet name="Análise Mês 3" sheetId="43" r:id="rId6"/>
    <sheet name="Mês 4" sheetId="45" r:id="rId7"/>
    <sheet name="Análise Mês 4" sheetId="46" r:id="rId8"/>
    <sheet name="Mês 5" sheetId="47" r:id="rId9"/>
    <sheet name="Análise Mês 5" sheetId="48" r:id="rId10"/>
    <sheet name="Mês 6" sheetId="49" r:id="rId11"/>
    <sheet name="Análise Mês 6" sheetId="50" r:id="rId12"/>
    <sheet name="Mês 7" sheetId="51" r:id="rId13"/>
    <sheet name="Análise Mês 7" sheetId="52" r:id="rId14"/>
    <sheet name="Mês 8" sheetId="53" r:id="rId15"/>
    <sheet name="Análise Mês 8" sheetId="54" r:id="rId16"/>
    <sheet name="Mês 9" sheetId="55" r:id="rId17"/>
    <sheet name="Análise Mês 9" sheetId="56" r:id="rId18"/>
    <sheet name="Mês 10" sheetId="57" r:id="rId19"/>
    <sheet name="Análise Mês 10" sheetId="58" r:id="rId20"/>
    <sheet name="Mês 11" sheetId="59" r:id="rId21"/>
    <sheet name="Análise Mês 11" sheetId="60" r:id="rId22"/>
    <sheet name="Mês 12" sheetId="61" r:id="rId23"/>
    <sheet name="Análise Mês 12" sheetId="62" r:id="rId24"/>
    <sheet name="Resultados" sheetId="9" r:id="rId25"/>
    <sheet name="cálculos" sheetId="4" state="hidden" r:id="rId2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1" i="9" l="1"/>
  <c r="E93" i="9"/>
  <c r="E100" i="9"/>
  <c r="E99" i="9"/>
  <c r="E98" i="9"/>
  <c r="E97" i="9"/>
  <c r="E96" i="9"/>
  <c r="E95" i="9"/>
  <c r="E94" i="9"/>
  <c r="E92" i="9"/>
  <c r="E90" i="9"/>
  <c r="E89" i="9"/>
  <c r="E11" i="9"/>
  <c r="F14" i="62"/>
  <c r="F14" i="60"/>
  <c r="F14" i="58"/>
  <c r="F14" i="56"/>
  <c r="F14" i="54"/>
  <c r="F14" i="52"/>
  <c r="F14" i="50"/>
  <c r="F14" i="48"/>
  <c r="F14" i="46"/>
  <c r="F14" i="43"/>
  <c r="F14" i="41"/>
  <c r="F14" i="10"/>
  <c r="F13" i="10"/>
  <c r="F11" i="10"/>
  <c r="E123" i="9" l="1"/>
  <c r="E122" i="9"/>
  <c r="E121" i="9"/>
  <c r="E120" i="9"/>
  <c r="E119" i="9"/>
  <c r="E118" i="9"/>
  <c r="E117" i="9"/>
  <c r="E116" i="9"/>
  <c r="E115" i="9"/>
  <c r="E114" i="9"/>
  <c r="E113" i="9"/>
  <c r="E112" i="9"/>
  <c r="E12" i="9"/>
  <c r="E79" i="9"/>
  <c r="E78" i="9"/>
  <c r="E77" i="9"/>
  <c r="E76" i="9"/>
  <c r="E75" i="9"/>
  <c r="E74" i="9"/>
  <c r="E73" i="9"/>
  <c r="E68" i="9"/>
  <c r="E69" i="9"/>
  <c r="E70" i="9"/>
  <c r="E71" i="9"/>
  <c r="E72" i="9"/>
  <c r="E10" i="9"/>
  <c r="E59" i="9"/>
  <c r="E58" i="9"/>
  <c r="E57" i="9"/>
  <c r="E56" i="9"/>
  <c r="E55" i="9"/>
  <c r="E54" i="9"/>
  <c r="E53" i="9"/>
  <c r="E52" i="9"/>
  <c r="E51" i="9"/>
  <c r="E50" i="9"/>
  <c r="E49" i="9"/>
  <c r="E48" i="9"/>
  <c r="E9" i="9"/>
  <c r="E39" i="9"/>
  <c r="E38" i="9"/>
  <c r="E37" i="9"/>
  <c r="E36" i="9"/>
  <c r="E35" i="9"/>
  <c r="E34" i="9"/>
  <c r="E33" i="9"/>
  <c r="E32" i="9"/>
  <c r="E31" i="9"/>
  <c r="E30" i="9"/>
  <c r="E29" i="9"/>
  <c r="E28" i="9"/>
  <c r="E8" i="9"/>
  <c r="F15" i="62"/>
  <c r="F13" i="62"/>
  <c r="F12" i="62"/>
  <c r="F11" i="62"/>
  <c r="F15" i="60"/>
  <c r="F13" i="60"/>
  <c r="F12" i="60"/>
  <c r="F11" i="60"/>
  <c r="F15" i="58"/>
  <c r="F13" i="58"/>
  <c r="F12" i="58"/>
  <c r="F11" i="58"/>
  <c r="F15" i="56"/>
  <c r="F13" i="56"/>
  <c r="F12" i="56"/>
  <c r="F11" i="56"/>
  <c r="F15" i="54"/>
  <c r="F13" i="54"/>
  <c r="F12" i="54"/>
  <c r="F11" i="54"/>
  <c r="F15" i="52"/>
  <c r="F13" i="52"/>
  <c r="F12" i="52"/>
  <c r="F11" i="52"/>
  <c r="F15" i="50"/>
  <c r="F13" i="50"/>
  <c r="F12" i="50"/>
  <c r="F11" i="50"/>
  <c r="F15" i="48"/>
  <c r="F13" i="48"/>
  <c r="F12" i="48"/>
  <c r="F11" i="48"/>
  <c r="F15" i="46"/>
  <c r="F13" i="46"/>
  <c r="F12" i="46"/>
  <c r="F11" i="46"/>
  <c r="F15" i="43"/>
  <c r="F13" i="43"/>
  <c r="F12" i="43"/>
  <c r="F11" i="43"/>
  <c r="F15" i="41"/>
  <c r="F13" i="41"/>
  <c r="F12" i="41"/>
  <c r="F11" i="41"/>
  <c r="F15" i="10" l="1"/>
  <c r="F1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FA809BB6-D354-4787-87BD-16E6A5E038B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A758BBFD-5FD5-4FEB-B1F0-A2EE0B8EEA3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8C5B80A4-252D-4AC8-B4AF-51B242CA492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FB0F048B-2F88-43FD-B105-16F54883158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A3950E43-C4C5-43AF-91FF-4D1499C4DBA6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067ACBDD-2180-4846-975B-F612674E6A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966EF2A9-556D-4389-953A-553F133262A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7123C242-DE19-4806-B938-37CD96A8481F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EAF36F07-5A2B-4DF2-81F0-A1AB66DBAA15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C02A43CF-E671-412A-B158-63B5D367CCB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15EE2855-2769-42D5-BD9C-EA890262BBC3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538897F9-9251-4770-B11E-6F24123934D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1761F890-DE61-448B-9320-8EB22398B2B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C5FC0E0D-3B68-428C-89CB-4AE9334F52B9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72476425-776B-4679-838A-D06F3A19EA3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382ED67D-A8E8-45F8-A196-0E2357D4798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21AF2908-EA91-4D5D-9712-F2D32856A97F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B94792DB-A39E-4F06-A611-B5C42ADEE52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4D4BCCF2-6666-41F7-9EE1-F9BE8C698F3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FF8B51FE-C823-4706-A326-89681725C059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92F13FF4-21DE-42C5-9EC4-7DF0A8A009A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DF3466E6-C41F-40E4-814E-FEE48A0B1FC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A81DB194-4680-4406-8C9A-FC81A8D3F93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410DAAC5-1158-49CA-BDD7-93914945B90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2C153884-5066-418E-A68C-6554893B1A52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8C825F12-1D76-4292-8971-40A0456CB2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B788B800-D75C-48C3-AAD6-EB0DC43C5FA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FE6E0833-5BA3-4A01-B780-9C9B4CE1DF3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F4FEE1D2-B900-423B-A743-856986BA2438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4918CFD8-2AD0-41D4-8BD4-32B2156FF4A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CDE55843-A945-4189-A47D-2766FE98003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10FD352E-EE16-49FE-A313-5B32A8B57E7A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64DF4A9A-1350-4EB1-AE67-8D85F0E9A432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A7FC8322-D9AD-4F19-95B1-CB445A94519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DEA9E5A5-1A82-40E1-A51B-E47F0B57E03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FBC34A66-D20D-41A3-9385-FF2615BD8E9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6F6B67B4-2DC5-4358-99AB-F746B306A5A9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201DA974-731C-4D61-819D-4D91B3C842A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7F7FC5FF-08DA-424C-A59D-1DE0E25B75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13E326A3-C14B-4DB6-85B8-353DC1E8AE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9A8CB306-5A04-42B7-A3EB-A0EF2CE8328C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58E640D8-9582-4A3F-974A-75D7FCF90F0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A110FDED-20FB-4CA1-8BAC-14B06EC5E46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7358E970-BDC2-4A9A-AFD7-DB9E3D4667A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32FB45CD-8C39-4B76-84B7-7611DEB34337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FDC9B713-5CD2-4693-8BA0-C8B89345EAD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482ED9A1-4031-4031-A6D6-D423B28D798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A9FBE3E2-F992-40EC-846F-CCDC48204A1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sharedStrings.xml><?xml version="1.0" encoding="utf-8"?>
<sst xmlns="http://schemas.openxmlformats.org/spreadsheetml/2006/main" count="281" uniqueCount="55">
  <si>
    <t>Data de Atendimento</t>
  </si>
  <si>
    <t>Email</t>
  </si>
  <si>
    <t>Contato</t>
  </si>
  <si>
    <t>Nome do Cliente</t>
  </si>
  <si>
    <t>Origem</t>
  </si>
  <si>
    <t>Visita</t>
  </si>
  <si>
    <t>Imóvel</t>
  </si>
  <si>
    <t>Tipo de Cliente</t>
  </si>
  <si>
    <t>Histórico</t>
  </si>
  <si>
    <t>Venda</t>
  </si>
  <si>
    <t>Lançamento</t>
  </si>
  <si>
    <t>Pesquisando</t>
  </si>
  <si>
    <t>Não comprou</t>
  </si>
  <si>
    <t>Mês 1</t>
  </si>
  <si>
    <t>Comprou</t>
  </si>
  <si>
    <t>Usado</t>
  </si>
  <si>
    <t>Potencial</t>
  </si>
  <si>
    <t>Análise Mês 1</t>
  </si>
  <si>
    <t>Vendas Efetivadas</t>
  </si>
  <si>
    <t>Quantidade de Visitas</t>
  </si>
  <si>
    <t>Quantidade de Clientes Atendidos</t>
  </si>
  <si>
    <t>Quantidade de Cliente Potencial</t>
  </si>
  <si>
    <t>Resultados</t>
  </si>
  <si>
    <t>Vendas Efetivadas Totais</t>
  </si>
  <si>
    <t>Análise Mês 2</t>
  </si>
  <si>
    <t>Mês 2</t>
  </si>
  <si>
    <t>Mês 3</t>
  </si>
  <si>
    <t>Análise Mês 3</t>
  </si>
  <si>
    <t>Mês 4</t>
  </si>
  <si>
    <t>Análise Mês 4</t>
  </si>
  <si>
    <t>Mês 5</t>
  </si>
  <si>
    <t>Análise Mês 5</t>
  </si>
  <si>
    <t>Mês 6</t>
  </si>
  <si>
    <t>Análise Mês 6</t>
  </si>
  <si>
    <t>Mês 7</t>
  </si>
  <si>
    <t>Análise Mês 7</t>
  </si>
  <si>
    <t>Mês 8</t>
  </si>
  <si>
    <t>Análise Mês 8</t>
  </si>
  <si>
    <t>Mês 9</t>
  </si>
  <si>
    <t>Análise Mês 9</t>
  </si>
  <si>
    <t>Mês 10</t>
  </si>
  <si>
    <t>Análise Mês 10</t>
  </si>
  <si>
    <t>Mês 11</t>
  </si>
  <si>
    <t>Análise Mês 11</t>
  </si>
  <si>
    <t>Mês 12</t>
  </si>
  <si>
    <t>Análise Mês 12</t>
  </si>
  <si>
    <t>Quantidade de Visitas por Mês</t>
  </si>
  <si>
    <t>Quantidade de Clientes Atendidos por Mês</t>
  </si>
  <si>
    <t>Quantidade de Cliente Potencial por Mês</t>
  </si>
  <si>
    <t>Vendas efetivadas por Mês</t>
  </si>
  <si>
    <t>Quantidade de Clientes Pesquisando</t>
  </si>
  <si>
    <t xml:space="preserve">Quantidade Total de Cliente Potencial </t>
  </si>
  <si>
    <t xml:space="preserve">Quantidade Total de Clientes Pesquisando </t>
  </si>
  <si>
    <t xml:space="preserve">Quantidade Total de Visitas </t>
  </si>
  <si>
    <t xml:space="preserve">Quantidade Total de Clientes Atendidos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</si>
</sst>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4"/>
      <color theme="9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theme="9"/>
      </bottom>
      <diagonal/>
    </border>
    <border>
      <left/>
      <right/>
      <top style="medium">
        <color theme="9"/>
      </top>
      <bottom/>
      <diagonal/>
    </border>
    <border>
      <left/>
      <right/>
      <top/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 style="medium">
        <color theme="9"/>
      </left>
      <right/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9"/>
      </left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14" fontId="0" fillId="0" borderId="0" xfId="0" applyNumberFormat="1"/>
    <xf numFmtId="0" fontId="3" fillId="0" borderId="0" xfId="1"/>
    <xf numFmtId="0" fontId="0" fillId="0" borderId="0" xfId="0" applyAlignment="1">
      <alignment horizontal="center" vertical="center"/>
    </xf>
    <xf numFmtId="0" fontId="0" fillId="2" borderId="0" xfId="0" applyFill="1"/>
    <xf numFmtId="0" fontId="4" fillId="2" borderId="0" xfId="0" applyFont="1" applyFill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0" fillId="0" borderId="0" xfId="0" applyBorder="1"/>
    <xf numFmtId="0" fontId="6" fillId="0" borderId="0" xfId="0" applyFo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5" fillId="0" borderId="3" xfId="0" applyNumberFormat="1" applyFont="1" applyBorder="1"/>
    <xf numFmtId="0" fontId="5" fillId="0" borderId="4" xfId="0" applyNumberFormat="1" applyFont="1" applyBorder="1"/>
    <xf numFmtId="0" fontId="8" fillId="0" borderId="0" xfId="0" applyFont="1" applyBorder="1"/>
    <xf numFmtId="0" fontId="8" fillId="0" borderId="6" xfId="0" applyFont="1" applyBorder="1"/>
  </cellXfs>
  <cellStyles count="2">
    <cellStyle name="Hiperlink" xfId="1" builtinId="8"/>
    <cellStyle name="Normal" xfId="0" builtinId="0"/>
  </cellStyles>
  <dxfs count="72"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047265966754154"/>
          <c:y val="0.13467592592592595"/>
          <c:w val="0.36016601049868768"/>
          <c:h val="0.60027668416447943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E6A-4BD9-99A5-69DD9AD819D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E6A-4BD9-99A5-69DD9AD819D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E6A-4BD9-99A5-69DD9AD819D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E6A-4BD9-99A5-69DD9AD819D4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Resultados!$D$8:$D$12</c:f>
              <c:strCache>
                <c:ptCount val="5"/>
                <c:pt idx="0">
                  <c:v>Quantidade Total de Visitas </c:v>
                </c:pt>
                <c:pt idx="1">
                  <c:v>Quantidade Total de Clientes Atendidos </c:v>
                </c:pt>
                <c:pt idx="2">
                  <c:v>Quantidade Total de Cliente Potencial </c:v>
                </c:pt>
                <c:pt idx="3">
                  <c:v>Quantidade Total de Clientes Pesquisando </c:v>
                </c:pt>
                <c:pt idx="4">
                  <c:v>Vendas Efetivadas Totais</c:v>
                </c:pt>
              </c:strCache>
            </c:strRef>
          </c:cat>
          <c:val>
            <c:numRef>
              <c:f>Resultados!$E$8:$E$12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72-46FF-A8B6-FAA19620202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Resultados!$D$28:$D$39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Resultados!$E$28:$E$39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0-4789-AE0B-8C90476F8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34054495"/>
        <c:axId val="1262506719"/>
      </c:barChart>
      <c:catAx>
        <c:axId val="73405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2506719"/>
        <c:crosses val="autoZero"/>
        <c:auto val="1"/>
        <c:lblAlgn val="ctr"/>
        <c:lblOffset val="100"/>
        <c:noMultiLvlLbl val="0"/>
      </c:catAx>
      <c:valAx>
        <c:axId val="1262506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34054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Resultados!$D$48:$D$59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Resultados!$E$48:$E$59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DE-4F11-9477-912CC2C2A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64417903"/>
        <c:axId val="1866879503"/>
      </c:barChart>
      <c:catAx>
        <c:axId val="164417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6879503"/>
        <c:crosses val="autoZero"/>
        <c:auto val="1"/>
        <c:lblAlgn val="ctr"/>
        <c:lblOffset val="100"/>
        <c:noMultiLvlLbl val="0"/>
      </c:catAx>
      <c:valAx>
        <c:axId val="186687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417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Resultados!$D$68:$D$79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Resultados!$E$68:$E$79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9-429A-8518-EDC9A4871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68659871"/>
        <c:axId val="1269327359"/>
      </c:barChart>
      <c:catAx>
        <c:axId val="18686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9327359"/>
        <c:crosses val="autoZero"/>
        <c:auto val="1"/>
        <c:lblAlgn val="ctr"/>
        <c:lblOffset val="100"/>
        <c:noMultiLvlLbl val="0"/>
      </c:catAx>
      <c:valAx>
        <c:axId val="126932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6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Resultados!$D$112:$D$123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Resultados!$E$112:$E$123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A7-460F-969D-5F08B150D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12893567"/>
        <c:axId val="1876928415"/>
      </c:barChart>
      <c:catAx>
        <c:axId val="1812893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928415"/>
        <c:crosses val="autoZero"/>
        <c:auto val="1"/>
        <c:lblAlgn val="ctr"/>
        <c:lblOffset val="100"/>
        <c:noMultiLvlLbl val="0"/>
      </c:catAx>
      <c:valAx>
        <c:axId val="1876928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2893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Resultados!$D$89:$D$100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Resultados!$E$89:$E$100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BD-42DF-96AE-D4BC6C071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88022448"/>
        <c:axId val="330659872"/>
      </c:barChart>
      <c:catAx>
        <c:axId val="68802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0659872"/>
        <c:crosses val="autoZero"/>
        <c:auto val="1"/>
        <c:lblAlgn val="ctr"/>
        <c:lblOffset val="100"/>
        <c:noMultiLvlLbl val="0"/>
      </c:catAx>
      <c:valAx>
        <c:axId val="33065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802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1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1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2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2'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3'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3'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4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4'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5'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5'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6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6'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7'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7'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8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8'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9'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9'!A1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10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10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11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11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12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12'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'M&#234;s 2'!A1"/><Relationship Id="rId13" Type="http://schemas.openxmlformats.org/officeDocument/2006/relationships/hyperlink" Target="#'M&#234;s 7'!A1"/><Relationship Id="rId18" Type="http://schemas.openxmlformats.org/officeDocument/2006/relationships/hyperlink" Target="#'M&#234;s 12'!A1"/><Relationship Id="rId3" Type="http://schemas.openxmlformats.org/officeDocument/2006/relationships/chart" Target="../charts/chart3.xml"/><Relationship Id="rId7" Type="http://schemas.openxmlformats.org/officeDocument/2006/relationships/hyperlink" Target="#'M&#234;s 1'!A1"/><Relationship Id="rId12" Type="http://schemas.openxmlformats.org/officeDocument/2006/relationships/hyperlink" Target="#'M&#234;s 6'!A1"/><Relationship Id="rId17" Type="http://schemas.openxmlformats.org/officeDocument/2006/relationships/hyperlink" Target="#'M&#234;s 11'!A1"/><Relationship Id="rId2" Type="http://schemas.openxmlformats.org/officeDocument/2006/relationships/chart" Target="../charts/chart2.xml"/><Relationship Id="rId16" Type="http://schemas.openxmlformats.org/officeDocument/2006/relationships/hyperlink" Target="#'M&#234;s 10'!A1"/><Relationship Id="rId1" Type="http://schemas.openxmlformats.org/officeDocument/2006/relationships/chart" Target="../charts/chart1.xml"/><Relationship Id="rId6" Type="http://schemas.openxmlformats.org/officeDocument/2006/relationships/hyperlink" Target="#Resultados!D133"/><Relationship Id="rId11" Type="http://schemas.openxmlformats.org/officeDocument/2006/relationships/hyperlink" Target="#'M&#234;s 5'!A1"/><Relationship Id="rId5" Type="http://schemas.openxmlformats.org/officeDocument/2006/relationships/chart" Target="../charts/chart5.xml"/><Relationship Id="rId15" Type="http://schemas.openxmlformats.org/officeDocument/2006/relationships/hyperlink" Target="#'M&#234;s 9'!A1"/><Relationship Id="rId10" Type="http://schemas.openxmlformats.org/officeDocument/2006/relationships/hyperlink" Target="#'M&#234;s 4'!A1"/><Relationship Id="rId19" Type="http://schemas.openxmlformats.org/officeDocument/2006/relationships/chart" Target="../charts/chart6.xml"/><Relationship Id="rId4" Type="http://schemas.openxmlformats.org/officeDocument/2006/relationships/chart" Target="../charts/chart4.xml"/><Relationship Id="rId9" Type="http://schemas.openxmlformats.org/officeDocument/2006/relationships/hyperlink" Target="#'M&#234;s 3'!A1"/><Relationship Id="rId14" Type="http://schemas.openxmlformats.org/officeDocument/2006/relationships/hyperlink" Target="#'M&#234;s 8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1E9BCC60-E0F6-4436-8A23-E383EE61D846}"/>
            </a:ext>
          </a:extLst>
        </xdr:cNvPr>
        <xdr:cNvSpPr/>
      </xdr:nvSpPr>
      <xdr:spPr>
        <a:xfrm>
          <a:off x="681317" y="138056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5" name="Retângulo 4">
          <a:extLst>
            <a:ext uri="{FF2B5EF4-FFF2-40B4-BE49-F238E27FC236}">
              <a16:creationId xmlns:a16="http://schemas.microsoft.com/office/drawing/2014/main" id="{A7856FDB-2E3A-491F-BB2C-1E44A68A6425}"/>
            </a:ext>
          </a:extLst>
        </xdr:cNvPr>
        <xdr:cNvSpPr/>
      </xdr:nvSpPr>
      <xdr:spPr>
        <a:xfrm>
          <a:off x="2510117" y="1389530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CFD9A9-378D-439A-BB63-C57AC766799F}"/>
            </a:ext>
          </a:extLst>
        </xdr:cNvPr>
        <xdr:cNvSpPr/>
      </xdr:nvSpPr>
      <xdr:spPr>
        <a:xfrm>
          <a:off x="946673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</a:t>
          </a:r>
          <a:endParaRPr lang="pt-BR" sz="1200" b="1" i="0"/>
        </a:p>
      </xdr:txBody>
    </xdr:sp>
    <xdr:clientData/>
  </xdr:twoCellAnchor>
  <xdr:twoCellAnchor>
    <xdr:from>
      <xdr:col>4</xdr:col>
      <xdr:colOff>313765</xdr:colOff>
      <xdr:row>1</xdr:row>
      <xdr:rowOff>35859</xdr:rowOff>
    </xdr:from>
    <xdr:to>
      <xdr:col>4</xdr:col>
      <xdr:colOff>1541929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D1BD4ED-DF00-48C9-AFF0-8290171171CF}"/>
            </a:ext>
          </a:extLst>
        </xdr:cNvPr>
        <xdr:cNvSpPr/>
      </xdr:nvSpPr>
      <xdr:spPr>
        <a:xfrm>
          <a:off x="8122024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E95B2E-B475-4183-B976-B756A25791ED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</a:t>
          </a:r>
        </a:p>
      </xdr:txBody>
    </xdr:sp>
    <xdr:clientData/>
  </xdr:twoCellAnchor>
  <xdr:twoCellAnchor>
    <xdr:from>
      <xdr:col>13</xdr:col>
      <xdr:colOff>182880</xdr:colOff>
      <xdr:row>1</xdr:row>
      <xdr:rowOff>45720</xdr:rowOff>
    </xdr:from>
    <xdr:to>
      <xdr:col>15</xdr:col>
      <xdr:colOff>191844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CD7641A-6FA3-43C6-96C9-2561F5E50A1A}"/>
            </a:ext>
          </a:extLst>
        </xdr:cNvPr>
        <xdr:cNvSpPr/>
      </xdr:nvSpPr>
      <xdr:spPr>
        <a:xfrm>
          <a:off x="93878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C5255DF5-29A3-4C6B-9A06-42C7D2A55FBE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5517DCD8-6AFF-416F-94E4-1FA51A426C02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F74D54-6795-47FE-9123-EDD26103B4B5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2</a:t>
          </a:r>
          <a:endParaRPr lang="pt-BR" sz="1200" b="1" i="0"/>
        </a:p>
      </xdr:txBody>
    </xdr:sp>
    <xdr:clientData/>
  </xdr:twoCellAnchor>
  <xdr:twoCellAnchor>
    <xdr:from>
      <xdr:col>4</xdr:col>
      <xdr:colOff>367553</xdr:colOff>
      <xdr:row>1</xdr:row>
      <xdr:rowOff>35859</xdr:rowOff>
    </xdr:from>
    <xdr:to>
      <xdr:col>4</xdr:col>
      <xdr:colOff>1595717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2513953-56CA-46F0-B57E-64810BAB926A}"/>
            </a:ext>
          </a:extLst>
        </xdr:cNvPr>
        <xdr:cNvSpPr/>
      </xdr:nvSpPr>
      <xdr:spPr>
        <a:xfrm>
          <a:off x="8175812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8BAEDB-6B89-44E0-836F-271CDE2AFA14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2</a:t>
          </a:r>
        </a:p>
      </xdr:txBody>
    </xdr:sp>
    <xdr:clientData/>
  </xdr:twoCellAnchor>
  <xdr:twoCellAnchor>
    <xdr:from>
      <xdr:col>13</xdr:col>
      <xdr:colOff>167640</xdr:colOff>
      <xdr:row>1</xdr:row>
      <xdr:rowOff>45720</xdr:rowOff>
    </xdr:from>
    <xdr:to>
      <xdr:col>15</xdr:col>
      <xdr:colOff>176604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0C5EC06-0E30-4A27-88A9-D57BFF9A047A}"/>
            </a:ext>
          </a:extLst>
        </xdr:cNvPr>
        <xdr:cNvSpPr/>
      </xdr:nvSpPr>
      <xdr:spPr>
        <a:xfrm>
          <a:off x="937260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5A5D6FA7-7A5F-4157-B849-65EDD58D17D6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25E9B714-6E10-46F1-99C2-A930BB83A877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C8ADC9-5BC3-47CD-A8A8-159BEF4A09A8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3</a:t>
          </a:r>
          <a:endParaRPr lang="pt-BR" sz="1200" b="1" i="0"/>
        </a:p>
      </xdr:txBody>
    </xdr:sp>
    <xdr:clientData/>
  </xdr:twoCellAnchor>
  <xdr:twoCellAnchor>
    <xdr:from>
      <xdr:col>10</xdr:col>
      <xdr:colOff>0</xdr:colOff>
      <xdr:row>19</xdr:row>
      <xdr:rowOff>0</xdr:rowOff>
    </xdr:from>
    <xdr:to>
      <xdr:col>11</xdr:col>
      <xdr:colOff>259975</xdr:colOff>
      <xdr:row>19</xdr:row>
      <xdr:rowOff>268941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C2892BB-8FC3-4318-9464-1A636A70960D}"/>
            </a:ext>
          </a:extLst>
        </xdr:cNvPr>
        <xdr:cNvSpPr/>
      </xdr:nvSpPr>
      <xdr:spPr>
        <a:xfrm>
          <a:off x="16934329" y="6436659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4</xdr:col>
      <xdr:colOff>340658</xdr:colOff>
      <xdr:row>1</xdr:row>
      <xdr:rowOff>35858</xdr:rowOff>
    </xdr:from>
    <xdr:to>
      <xdr:col>4</xdr:col>
      <xdr:colOff>1568822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FFFC33A-6036-4186-9BD5-CDA5731C9BF9}"/>
            </a:ext>
          </a:extLst>
        </xdr:cNvPr>
        <xdr:cNvSpPr/>
      </xdr:nvSpPr>
      <xdr:spPr>
        <a:xfrm>
          <a:off x="8148917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3687C6-DC43-4371-A561-34F0621072C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3</a:t>
          </a:r>
        </a:p>
      </xdr:txBody>
    </xdr:sp>
    <xdr:clientData/>
  </xdr:twoCellAnchor>
  <xdr:twoCellAnchor>
    <xdr:from>
      <xdr:col>13</xdr:col>
      <xdr:colOff>160020</xdr:colOff>
      <xdr:row>1</xdr:row>
      <xdr:rowOff>45720</xdr:rowOff>
    </xdr:from>
    <xdr:to>
      <xdr:col>15</xdr:col>
      <xdr:colOff>168984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F5AF210-5EA6-4F95-B566-C7086380DAB5}"/>
            </a:ext>
          </a:extLst>
        </xdr:cNvPr>
        <xdr:cNvSpPr/>
      </xdr:nvSpPr>
      <xdr:spPr>
        <a:xfrm>
          <a:off x="93649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BFE2FE31-E3EB-4089-A9AD-5EE0DED31051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83B7CE93-7F30-4944-8F7C-B0A08A0B46B8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AAF406-4AE2-402D-8D85-CE525C47D5FE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4</a:t>
          </a:r>
        </a:p>
      </xdr:txBody>
    </xdr:sp>
    <xdr:clientData/>
  </xdr:twoCellAnchor>
  <xdr:twoCellAnchor>
    <xdr:from>
      <xdr:col>4</xdr:col>
      <xdr:colOff>331694</xdr:colOff>
      <xdr:row>1</xdr:row>
      <xdr:rowOff>35859</xdr:rowOff>
    </xdr:from>
    <xdr:to>
      <xdr:col>4</xdr:col>
      <xdr:colOff>1559858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A18BA5F-A0A2-459E-B158-AD98A1340A6A}"/>
            </a:ext>
          </a:extLst>
        </xdr:cNvPr>
        <xdr:cNvSpPr/>
      </xdr:nvSpPr>
      <xdr:spPr>
        <a:xfrm>
          <a:off x="81399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2A124D-227A-441B-A003-EC6CDA07D64C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4</a:t>
          </a:r>
        </a:p>
      </xdr:txBody>
    </xdr:sp>
    <xdr:clientData/>
  </xdr:twoCellAnchor>
  <xdr:twoCellAnchor>
    <xdr:from>
      <xdr:col>13</xdr:col>
      <xdr:colOff>160020</xdr:colOff>
      <xdr:row>1</xdr:row>
      <xdr:rowOff>45720</xdr:rowOff>
    </xdr:from>
    <xdr:to>
      <xdr:col>15</xdr:col>
      <xdr:colOff>168984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FC8466-FC72-4FE0-9DCC-94DA9A46C06D}"/>
            </a:ext>
          </a:extLst>
        </xdr:cNvPr>
        <xdr:cNvSpPr/>
      </xdr:nvSpPr>
      <xdr:spPr>
        <a:xfrm>
          <a:off x="93649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DF71E9A8-8E98-4C0B-9053-0D3E9F73E445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8CCF78E6-B867-4D80-964E-C553BFF105D9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64CCDB-A6BF-4D36-95F3-2C1F7DFDD2A2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5</a:t>
          </a:r>
          <a:endParaRPr lang="pt-BR" sz="1200" b="1" i="0"/>
        </a:p>
      </xdr:txBody>
    </xdr:sp>
    <xdr:clientData/>
  </xdr:twoCellAnchor>
  <xdr:twoCellAnchor>
    <xdr:from>
      <xdr:col>4</xdr:col>
      <xdr:colOff>331694</xdr:colOff>
      <xdr:row>1</xdr:row>
      <xdr:rowOff>35859</xdr:rowOff>
    </xdr:from>
    <xdr:to>
      <xdr:col>4</xdr:col>
      <xdr:colOff>1559858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629CE77-BCEC-4822-8552-61EA2165A3FC}"/>
            </a:ext>
          </a:extLst>
        </xdr:cNvPr>
        <xdr:cNvSpPr/>
      </xdr:nvSpPr>
      <xdr:spPr>
        <a:xfrm>
          <a:off x="81399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F7EB28-50C0-483F-A012-62E5B76766F7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5</a:t>
          </a:r>
        </a:p>
      </xdr:txBody>
    </xdr:sp>
    <xdr:clientData/>
  </xdr:twoCellAnchor>
  <xdr:twoCellAnchor>
    <xdr:from>
      <xdr:col>13</xdr:col>
      <xdr:colOff>144780</xdr:colOff>
      <xdr:row>1</xdr:row>
      <xdr:rowOff>45720</xdr:rowOff>
    </xdr:from>
    <xdr:to>
      <xdr:col>15</xdr:col>
      <xdr:colOff>153744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1DD0A82-9818-4882-A987-370418B932BA}"/>
            </a:ext>
          </a:extLst>
        </xdr:cNvPr>
        <xdr:cNvSpPr/>
      </xdr:nvSpPr>
      <xdr:spPr>
        <a:xfrm>
          <a:off x="93497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052701CC-70DD-4E50-931A-D28DC5D5BF71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713A2BB2-19AC-4B61-830F-A4D8AFA596EC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1634EC-AB51-491C-88F1-534D16A37AD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6</a:t>
          </a:r>
          <a:endParaRPr lang="pt-BR" sz="1200" b="1" i="0"/>
        </a:p>
      </xdr:txBody>
    </xdr:sp>
    <xdr:clientData/>
  </xdr:twoCellAnchor>
  <xdr:twoCellAnchor>
    <xdr:from>
      <xdr:col>4</xdr:col>
      <xdr:colOff>259977</xdr:colOff>
      <xdr:row>1</xdr:row>
      <xdr:rowOff>35859</xdr:rowOff>
    </xdr:from>
    <xdr:to>
      <xdr:col>4</xdr:col>
      <xdr:colOff>1515035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AB654C-AA0A-44E2-BAA9-FE3EEC6AC99D}"/>
            </a:ext>
          </a:extLst>
        </xdr:cNvPr>
        <xdr:cNvSpPr/>
      </xdr:nvSpPr>
      <xdr:spPr>
        <a:xfrm>
          <a:off x="8068236" y="215153"/>
          <a:ext cx="1255058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B24351-DA3A-4D98-B59C-902C2D6A37A3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6</a:t>
          </a:r>
        </a:p>
      </xdr:txBody>
    </xdr:sp>
    <xdr:clientData/>
  </xdr:twoCellAnchor>
  <xdr:twoCellAnchor>
    <xdr:from>
      <xdr:col>13</xdr:col>
      <xdr:colOff>121920</xdr:colOff>
      <xdr:row>1</xdr:row>
      <xdr:rowOff>45720</xdr:rowOff>
    </xdr:from>
    <xdr:to>
      <xdr:col>15</xdr:col>
      <xdr:colOff>130884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D9775C2-8258-408D-9F0D-4225784C76FA}"/>
            </a:ext>
          </a:extLst>
        </xdr:cNvPr>
        <xdr:cNvSpPr/>
      </xdr:nvSpPr>
      <xdr:spPr>
        <a:xfrm>
          <a:off x="93268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CAFC7665-63FB-4550-9B15-F842F3B44B07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D7C4A4A2-579F-47FF-A64B-23654DFE6DE1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26CCDC-AC30-4CFF-B7E3-E0E86F5EA5E2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7</a:t>
          </a:r>
          <a:endParaRPr lang="pt-BR" sz="1200" b="1" i="0"/>
        </a:p>
      </xdr:txBody>
    </xdr:sp>
    <xdr:clientData/>
  </xdr:twoCellAnchor>
  <xdr:twoCellAnchor>
    <xdr:from>
      <xdr:col>4</xdr:col>
      <xdr:colOff>304801</xdr:colOff>
      <xdr:row>1</xdr:row>
      <xdr:rowOff>35859</xdr:rowOff>
    </xdr:from>
    <xdr:to>
      <xdr:col>4</xdr:col>
      <xdr:colOff>1532965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52CDB5E-01C3-41B9-9F9B-CD47BB2ED721}"/>
            </a:ext>
          </a:extLst>
        </xdr:cNvPr>
        <xdr:cNvSpPr/>
      </xdr:nvSpPr>
      <xdr:spPr>
        <a:xfrm>
          <a:off x="811306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8A8151-9EDC-4C37-8607-9272120D1084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7</a:t>
          </a:r>
        </a:p>
      </xdr:txBody>
    </xdr:sp>
    <xdr:clientData/>
  </xdr:twoCellAnchor>
  <xdr:twoCellAnchor>
    <xdr:from>
      <xdr:col>13</xdr:col>
      <xdr:colOff>137160</xdr:colOff>
      <xdr:row>1</xdr:row>
      <xdr:rowOff>53340</xdr:rowOff>
    </xdr:from>
    <xdr:to>
      <xdr:col>15</xdr:col>
      <xdr:colOff>146124</xdr:colOff>
      <xdr:row>1</xdr:row>
      <xdr:rowOff>322281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A2464DF-BB97-42B8-9538-54008D4E2C6F}"/>
            </a:ext>
          </a:extLst>
        </xdr:cNvPr>
        <xdr:cNvSpPr/>
      </xdr:nvSpPr>
      <xdr:spPr>
        <a:xfrm>
          <a:off x="934212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66FB864C-4F48-42CE-B2EB-0C97695DB914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B5E52B32-E3C6-401C-A370-1BF10F96DBEE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0DE4EB-A0F9-4B48-B1FC-315EF4260F13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8</a:t>
          </a:r>
          <a:endParaRPr lang="pt-BR" sz="1200" b="1" i="0"/>
        </a:p>
      </xdr:txBody>
    </xdr:sp>
    <xdr:clientData/>
  </xdr:twoCellAnchor>
  <xdr:twoCellAnchor>
    <xdr:from>
      <xdr:col>4</xdr:col>
      <xdr:colOff>313764</xdr:colOff>
      <xdr:row>1</xdr:row>
      <xdr:rowOff>26895</xdr:rowOff>
    </xdr:from>
    <xdr:to>
      <xdr:col>4</xdr:col>
      <xdr:colOff>1541928</xdr:colOff>
      <xdr:row>1</xdr:row>
      <xdr:rowOff>295836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FFBB5FF-1D22-4EDB-99BC-6F2AA4DE9C5C}"/>
            </a:ext>
          </a:extLst>
        </xdr:cNvPr>
        <xdr:cNvSpPr/>
      </xdr:nvSpPr>
      <xdr:spPr>
        <a:xfrm>
          <a:off x="8122023" y="206189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45F79B-A870-42BB-8205-6BFFB26BBB4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8</a:t>
          </a:r>
        </a:p>
      </xdr:txBody>
    </xdr:sp>
    <xdr:clientData/>
  </xdr:twoCellAnchor>
  <xdr:twoCellAnchor>
    <xdr:from>
      <xdr:col>13</xdr:col>
      <xdr:colOff>137160</xdr:colOff>
      <xdr:row>1</xdr:row>
      <xdr:rowOff>45720</xdr:rowOff>
    </xdr:from>
    <xdr:to>
      <xdr:col>15</xdr:col>
      <xdr:colOff>146124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D9A3EE8-71B2-46B0-B091-0B9D9BDFD3DA}"/>
            </a:ext>
          </a:extLst>
        </xdr:cNvPr>
        <xdr:cNvSpPr/>
      </xdr:nvSpPr>
      <xdr:spPr>
        <a:xfrm>
          <a:off x="93421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1C17F99E-CA7D-4586-AABB-3B0BF5C55E64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ED3474F4-A7FA-46A3-A68E-D7B86921AEE8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D29909-A945-45DA-93E6-1C180D4719AD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9</a:t>
          </a:r>
          <a:endParaRPr lang="pt-BR" sz="1200" b="1" i="0"/>
        </a:p>
      </xdr:txBody>
    </xdr:sp>
    <xdr:clientData/>
  </xdr:twoCellAnchor>
  <xdr:twoCellAnchor>
    <xdr:from>
      <xdr:col>4</xdr:col>
      <xdr:colOff>286871</xdr:colOff>
      <xdr:row>1</xdr:row>
      <xdr:rowOff>35859</xdr:rowOff>
    </xdr:from>
    <xdr:to>
      <xdr:col>4</xdr:col>
      <xdr:colOff>1515035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2060744-559A-4094-89F8-B10C21EAFE52}"/>
            </a:ext>
          </a:extLst>
        </xdr:cNvPr>
        <xdr:cNvSpPr/>
      </xdr:nvSpPr>
      <xdr:spPr>
        <a:xfrm>
          <a:off x="809513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4A53CD-E152-4B1F-B343-93C964D42026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9</a:t>
          </a:r>
        </a:p>
      </xdr:txBody>
    </xdr:sp>
    <xdr:clientData/>
  </xdr:twoCellAnchor>
  <xdr:twoCellAnchor>
    <xdr:from>
      <xdr:col>13</xdr:col>
      <xdr:colOff>152400</xdr:colOff>
      <xdr:row>1</xdr:row>
      <xdr:rowOff>45720</xdr:rowOff>
    </xdr:from>
    <xdr:to>
      <xdr:col>15</xdr:col>
      <xdr:colOff>161364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7BF645-4760-4F5C-9DDC-FBEBF5295A2B}"/>
            </a:ext>
          </a:extLst>
        </xdr:cNvPr>
        <xdr:cNvSpPr/>
      </xdr:nvSpPr>
      <xdr:spPr>
        <a:xfrm>
          <a:off x="93573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360D40E4-CFE1-46E8-B6F0-FFD61DAE08AC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DB5F477A-E144-4466-9D36-EB84E95313CB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DCED01-FB38-4C9F-8573-C652E05B79F8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10</a:t>
          </a:r>
          <a:endParaRPr lang="pt-BR" sz="1200" b="1" i="0"/>
        </a:p>
      </xdr:txBody>
    </xdr:sp>
    <xdr:clientData/>
  </xdr:twoCellAnchor>
  <xdr:twoCellAnchor>
    <xdr:from>
      <xdr:col>4</xdr:col>
      <xdr:colOff>322729</xdr:colOff>
      <xdr:row>1</xdr:row>
      <xdr:rowOff>35859</xdr:rowOff>
    </xdr:from>
    <xdr:to>
      <xdr:col>4</xdr:col>
      <xdr:colOff>1550893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E3F82B0-043C-4946-9FFB-F81A9400574D}"/>
            </a:ext>
          </a:extLst>
        </xdr:cNvPr>
        <xdr:cNvSpPr/>
      </xdr:nvSpPr>
      <xdr:spPr>
        <a:xfrm>
          <a:off x="8130988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B6109A-8880-4124-A895-83EF8B196719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10</a:t>
          </a:r>
        </a:p>
      </xdr:txBody>
    </xdr:sp>
    <xdr:clientData/>
  </xdr:twoCellAnchor>
  <xdr:twoCellAnchor>
    <xdr:from>
      <xdr:col>13</xdr:col>
      <xdr:colOff>152400</xdr:colOff>
      <xdr:row>1</xdr:row>
      <xdr:rowOff>45720</xdr:rowOff>
    </xdr:from>
    <xdr:to>
      <xdr:col>15</xdr:col>
      <xdr:colOff>161364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DF2A590-C466-4311-ADF2-54669493E85A}"/>
            </a:ext>
          </a:extLst>
        </xdr:cNvPr>
        <xdr:cNvSpPr/>
      </xdr:nvSpPr>
      <xdr:spPr>
        <a:xfrm>
          <a:off x="93573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2B0553E5-7577-4C21-9324-C8CA3521FE59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BC37847D-DE00-4795-8036-49F1E6884ADE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58C6A2-925C-4BA5-AE7B-606DC5C7D1FD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11</a:t>
          </a:r>
          <a:endParaRPr lang="pt-BR" sz="1200" b="1" i="0"/>
        </a:p>
      </xdr:txBody>
    </xdr:sp>
    <xdr:clientData/>
  </xdr:twoCellAnchor>
  <xdr:twoCellAnchor>
    <xdr:from>
      <xdr:col>4</xdr:col>
      <xdr:colOff>277906</xdr:colOff>
      <xdr:row>1</xdr:row>
      <xdr:rowOff>35859</xdr:rowOff>
    </xdr:from>
    <xdr:to>
      <xdr:col>4</xdr:col>
      <xdr:colOff>1506070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3E8F134-DE6A-40BE-B306-03A6A8A9A973}"/>
            </a:ext>
          </a:extLst>
        </xdr:cNvPr>
        <xdr:cNvSpPr/>
      </xdr:nvSpPr>
      <xdr:spPr>
        <a:xfrm>
          <a:off x="8086165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E396C8-6DE8-4433-85DB-439219DFDCC2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</a:t>
          </a:r>
          <a:r>
            <a:rPr lang="pt-BR" sz="1200" b="1" i="0" baseline="0"/>
            <a:t> 11</a:t>
          </a:r>
          <a:endParaRPr lang="pt-BR" sz="1200" b="1" i="0"/>
        </a:p>
      </xdr:txBody>
    </xdr:sp>
    <xdr:clientData/>
  </xdr:twoCellAnchor>
  <xdr:twoCellAnchor>
    <xdr:from>
      <xdr:col>13</xdr:col>
      <xdr:colOff>137160</xdr:colOff>
      <xdr:row>1</xdr:row>
      <xdr:rowOff>45720</xdr:rowOff>
    </xdr:from>
    <xdr:to>
      <xdr:col>15</xdr:col>
      <xdr:colOff>146124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942EC72-7BA8-47C8-8A9F-15661395E1D9}"/>
            </a:ext>
          </a:extLst>
        </xdr:cNvPr>
        <xdr:cNvSpPr/>
      </xdr:nvSpPr>
      <xdr:spPr>
        <a:xfrm>
          <a:off x="93421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0058BA4E-284E-44B8-8584-672830C1CFF3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6E9126D6-7C95-4EB6-B466-0F17AD0C0525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D66004-2848-4CB5-BCAB-5B036C4F77C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12</a:t>
          </a:r>
          <a:endParaRPr lang="pt-BR" sz="1200" b="1" i="0"/>
        </a:p>
      </xdr:txBody>
    </xdr:sp>
    <xdr:clientData/>
  </xdr:twoCellAnchor>
  <xdr:twoCellAnchor>
    <xdr:from>
      <xdr:col>4</xdr:col>
      <xdr:colOff>304800</xdr:colOff>
      <xdr:row>1</xdr:row>
      <xdr:rowOff>26894</xdr:rowOff>
    </xdr:from>
    <xdr:to>
      <xdr:col>4</xdr:col>
      <xdr:colOff>1532964</xdr:colOff>
      <xdr:row>1</xdr:row>
      <xdr:rowOff>295835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8384CE-CDC2-4F07-B81A-2E2393B16C9C}"/>
            </a:ext>
          </a:extLst>
        </xdr:cNvPr>
        <xdr:cNvSpPr/>
      </xdr:nvSpPr>
      <xdr:spPr>
        <a:xfrm>
          <a:off x="8113059" y="206188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F1E8CA-F8E9-419A-A1E8-544D1E89B9E2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12</a:t>
          </a:r>
        </a:p>
      </xdr:txBody>
    </xdr:sp>
    <xdr:clientData/>
  </xdr:twoCellAnchor>
  <xdr:twoCellAnchor>
    <xdr:from>
      <xdr:col>13</xdr:col>
      <xdr:colOff>152400</xdr:colOff>
      <xdr:row>1</xdr:row>
      <xdr:rowOff>53340</xdr:rowOff>
    </xdr:from>
    <xdr:to>
      <xdr:col>15</xdr:col>
      <xdr:colOff>161364</xdr:colOff>
      <xdr:row>1</xdr:row>
      <xdr:rowOff>322281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E86FBC6-56D0-43D8-A1FE-DDF347047CCF}"/>
            </a:ext>
          </a:extLst>
        </xdr:cNvPr>
        <xdr:cNvSpPr/>
      </xdr:nvSpPr>
      <xdr:spPr>
        <a:xfrm>
          <a:off x="935736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83820</xdr:colOff>
      <xdr:row>4</xdr:row>
      <xdr:rowOff>133350</xdr:rowOff>
    </xdr:from>
    <xdr:to>
      <xdr:col>15</xdr:col>
      <xdr:colOff>388620</xdr:colOff>
      <xdr:row>18</xdr:row>
      <xdr:rowOff>133350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30A418A-A380-44EC-8985-F7BE783DBC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</xdr:colOff>
      <xdr:row>26</xdr:row>
      <xdr:rowOff>118110</xdr:rowOff>
    </xdr:from>
    <xdr:to>
      <xdr:col>15</xdr:col>
      <xdr:colOff>365760</xdr:colOff>
      <xdr:row>38</xdr:row>
      <xdr:rowOff>163830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18937C8-36F8-49DB-81D4-9931B8786C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83820</xdr:colOff>
      <xdr:row>46</xdr:row>
      <xdr:rowOff>80010</xdr:rowOff>
    </xdr:from>
    <xdr:to>
      <xdr:col>15</xdr:col>
      <xdr:colOff>403860</xdr:colOff>
      <xdr:row>58</xdr:row>
      <xdr:rowOff>213360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C427274-C0E3-438B-AAD2-09E22D5966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198120</xdr:colOff>
      <xdr:row>66</xdr:row>
      <xdr:rowOff>38100</xdr:rowOff>
    </xdr:from>
    <xdr:to>
      <xdr:col>15</xdr:col>
      <xdr:colOff>350520</xdr:colOff>
      <xdr:row>80</xdr:row>
      <xdr:rowOff>106680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3D42786-77C3-49F7-BD79-C9D84EFCC6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205740</xdr:colOff>
      <xdr:row>109</xdr:row>
      <xdr:rowOff>129540</xdr:rowOff>
    </xdr:from>
    <xdr:to>
      <xdr:col>15</xdr:col>
      <xdr:colOff>373380</xdr:colOff>
      <xdr:row>123</xdr:row>
      <xdr:rowOff>45720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DE99376-C24F-4C60-A5EF-8CCD26E6A7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259080</xdr:colOff>
      <xdr:row>1</xdr:row>
      <xdr:rowOff>30480</xdr:rowOff>
    </xdr:from>
    <xdr:to>
      <xdr:col>13</xdr:col>
      <xdr:colOff>167640</xdr:colOff>
      <xdr:row>1</xdr:row>
      <xdr:rowOff>327660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B9DFA6F-C6B4-4C58-96CB-AA042A848F3C}"/>
            </a:ext>
          </a:extLst>
        </xdr:cNvPr>
        <xdr:cNvSpPr/>
      </xdr:nvSpPr>
      <xdr:spPr>
        <a:xfrm>
          <a:off x="9898380" y="2133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Ir para meses</a:t>
          </a:r>
        </a:p>
      </xdr:txBody>
    </xdr:sp>
    <xdr:clientData/>
  </xdr:twoCellAnchor>
  <xdr:twoCellAnchor>
    <xdr:from>
      <xdr:col>3</xdr:col>
      <xdr:colOff>2324100</xdr:colOff>
      <xdr:row>125</xdr:row>
      <xdr:rowOff>99060</xdr:rowOff>
    </xdr:from>
    <xdr:to>
      <xdr:col>4</xdr:col>
      <xdr:colOff>243840</xdr:colOff>
      <xdr:row>127</xdr:row>
      <xdr:rowOff>30480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6FC8476-6267-4E6D-ADAD-4A2AA6DD38E4}"/>
            </a:ext>
          </a:extLst>
        </xdr:cNvPr>
        <xdr:cNvSpPr/>
      </xdr:nvSpPr>
      <xdr:spPr>
        <a:xfrm>
          <a:off x="4152900" y="2586990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</a:t>
          </a:r>
        </a:p>
      </xdr:txBody>
    </xdr:sp>
    <xdr:clientData/>
  </xdr:twoCellAnchor>
  <xdr:twoCellAnchor>
    <xdr:from>
      <xdr:col>4</xdr:col>
      <xdr:colOff>335280</xdr:colOff>
      <xdr:row>125</xdr:row>
      <xdr:rowOff>91440</xdr:rowOff>
    </xdr:from>
    <xdr:to>
      <xdr:col>5</xdr:col>
      <xdr:colOff>518160</xdr:colOff>
      <xdr:row>127</xdr:row>
      <xdr:rowOff>22860</xdr:rowOff>
    </xdr:to>
    <xdr:sp macro="" textlink="">
      <xdr:nvSpPr>
        <xdr:cNvPr id="12" name="Retâ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AF9349A-C6A6-401C-AEE7-6CB647740D30}"/>
            </a:ext>
          </a:extLst>
        </xdr:cNvPr>
        <xdr:cNvSpPr/>
      </xdr:nvSpPr>
      <xdr:spPr>
        <a:xfrm>
          <a:off x="5372100" y="2586228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2</a:t>
          </a:r>
        </a:p>
      </xdr:txBody>
    </xdr:sp>
    <xdr:clientData/>
  </xdr:twoCellAnchor>
  <xdr:twoCellAnchor>
    <xdr:from>
      <xdr:col>6</xdr:col>
      <xdr:colOff>7620</xdr:colOff>
      <xdr:row>125</xdr:row>
      <xdr:rowOff>91440</xdr:rowOff>
    </xdr:from>
    <xdr:to>
      <xdr:col>7</xdr:col>
      <xdr:colOff>525780</xdr:colOff>
      <xdr:row>127</xdr:row>
      <xdr:rowOff>22860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8AB6515-0197-411D-86C7-D0EF56F8E06E}"/>
            </a:ext>
          </a:extLst>
        </xdr:cNvPr>
        <xdr:cNvSpPr/>
      </xdr:nvSpPr>
      <xdr:spPr>
        <a:xfrm>
          <a:off x="6598920" y="2586228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3</a:t>
          </a:r>
        </a:p>
      </xdr:txBody>
    </xdr:sp>
    <xdr:clientData/>
  </xdr:twoCellAnchor>
  <xdr:twoCellAnchor>
    <xdr:from>
      <xdr:col>7</xdr:col>
      <xdr:colOff>594360</xdr:colOff>
      <xdr:row>125</xdr:row>
      <xdr:rowOff>83820</xdr:rowOff>
    </xdr:from>
    <xdr:to>
      <xdr:col>9</xdr:col>
      <xdr:colOff>502920</xdr:colOff>
      <xdr:row>127</xdr:row>
      <xdr:rowOff>15240</xdr:rowOff>
    </xdr:to>
    <xdr:sp macro="" textlink="">
      <xdr:nvSpPr>
        <xdr:cNvPr id="14" name="Retângul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20700B1-3673-4185-A163-1AB1BCB151E2}"/>
            </a:ext>
          </a:extLst>
        </xdr:cNvPr>
        <xdr:cNvSpPr/>
      </xdr:nvSpPr>
      <xdr:spPr>
        <a:xfrm>
          <a:off x="7795260" y="258546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4</a:t>
          </a:r>
        </a:p>
      </xdr:txBody>
    </xdr:sp>
    <xdr:clientData/>
  </xdr:twoCellAnchor>
  <xdr:twoCellAnchor>
    <xdr:from>
      <xdr:col>9</xdr:col>
      <xdr:colOff>579120</xdr:colOff>
      <xdr:row>125</xdr:row>
      <xdr:rowOff>83820</xdr:rowOff>
    </xdr:from>
    <xdr:to>
      <xdr:col>11</xdr:col>
      <xdr:colOff>487680</xdr:colOff>
      <xdr:row>127</xdr:row>
      <xdr:rowOff>15240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9D53A43-5044-4E7D-9CEE-F66D51876D3B}"/>
            </a:ext>
          </a:extLst>
        </xdr:cNvPr>
        <xdr:cNvSpPr/>
      </xdr:nvSpPr>
      <xdr:spPr>
        <a:xfrm>
          <a:off x="8999220" y="258546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5</a:t>
          </a:r>
        </a:p>
      </xdr:txBody>
    </xdr:sp>
    <xdr:clientData/>
  </xdr:twoCellAnchor>
  <xdr:twoCellAnchor>
    <xdr:from>
      <xdr:col>3</xdr:col>
      <xdr:colOff>2324100</xdr:colOff>
      <xdr:row>127</xdr:row>
      <xdr:rowOff>144780</xdr:rowOff>
    </xdr:from>
    <xdr:to>
      <xdr:col>4</xdr:col>
      <xdr:colOff>243840</xdr:colOff>
      <xdr:row>129</xdr:row>
      <xdr:rowOff>76200</xdr:rowOff>
    </xdr:to>
    <xdr:sp macro="" textlink="">
      <xdr:nvSpPr>
        <xdr:cNvPr id="16" name="Retângulo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7F7F4AB-4FE9-4AD8-A26B-3230F3279164}"/>
            </a:ext>
          </a:extLst>
        </xdr:cNvPr>
        <xdr:cNvSpPr/>
      </xdr:nvSpPr>
      <xdr:spPr>
        <a:xfrm>
          <a:off x="4152900" y="2628138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6</a:t>
          </a:r>
        </a:p>
      </xdr:txBody>
    </xdr:sp>
    <xdr:clientData/>
  </xdr:twoCellAnchor>
  <xdr:twoCellAnchor>
    <xdr:from>
      <xdr:col>4</xdr:col>
      <xdr:colOff>350520</xdr:colOff>
      <xdr:row>127</xdr:row>
      <xdr:rowOff>129540</xdr:rowOff>
    </xdr:from>
    <xdr:to>
      <xdr:col>5</xdr:col>
      <xdr:colOff>533400</xdr:colOff>
      <xdr:row>129</xdr:row>
      <xdr:rowOff>60960</xdr:rowOff>
    </xdr:to>
    <xdr:sp macro="" textlink="">
      <xdr:nvSpPr>
        <xdr:cNvPr id="17" name="Retângulo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7BC30F4-978C-4F8D-B964-4D36879FC919}"/>
            </a:ext>
          </a:extLst>
        </xdr:cNvPr>
        <xdr:cNvSpPr/>
      </xdr:nvSpPr>
      <xdr:spPr>
        <a:xfrm>
          <a:off x="5387340" y="262661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7</a:t>
          </a:r>
        </a:p>
      </xdr:txBody>
    </xdr:sp>
    <xdr:clientData/>
  </xdr:twoCellAnchor>
  <xdr:twoCellAnchor>
    <xdr:from>
      <xdr:col>6</xdr:col>
      <xdr:colOff>7620</xdr:colOff>
      <xdr:row>127</xdr:row>
      <xdr:rowOff>129540</xdr:rowOff>
    </xdr:from>
    <xdr:to>
      <xdr:col>7</xdr:col>
      <xdr:colOff>525780</xdr:colOff>
      <xdr:row>129</xdr:row>
      <xdr:rowOff>60960</xdr:rowOff>
    </xdr:to>
    <xdr:sp macro="" textlink="">
      <xdr:nvSpPr>
        <xdr:cNvPr id="18" name="Retângulo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342888F-9FCE-43A2-A8B0-D8CE6EC62798}"/>
            </a:ext>
          </a:extLst>
        </xdr:cNvPr>
        <xdr:cNvSpPr/>
      </xdr:nvSpPr>
      <xdr:spPr>
        <a:xfrm>
          <a:off x="6598920" y="262661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8</a:t>
          </a:r>
        </a:p>
      </xdr:txBody>
    </xdr:sp>
    <xdr:clientData/>
  </xdr:twoCellAnchor>
  <xdr:twoCellAnchor>
    <xdr:from>
      <xdr:col>7</xdr:col>
      <xdr:colOff>586740</xdr:colOff>
      <xdr:row>127</xdr:row>
      <xdr:rowOff>137160</xdr:rowOff>
    </xdr:from>
    <xdr:to>
      <xdr:col>9</xdr:col>
      <xdr:colOff>495300</xdr:colOff>
      <xdr:row>129</xdr:row>
      <xdr:rowOff>68580</xdr:rowOff>
    </xdr:to>
    <xdr:sp macro="" textlink="">
      <xdr:nvSpPr>
        <xdr:cNvPr id="19" name="Retângulo 1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3690B7FC-2F12-4B46-ACB7-98AF105FA9F5}"/>
            </a:ext>
          </a:extLst>
        </xdr:cNvPr>
        <xdr:cNvSpPr/>
      </xdr:nvSpPr>
      <xdr:spPr>
        <a:xfrm>
          <a:off x="7787640" y="262737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9</a:t>
          </a:r>
        </a:p>
      </xdr:txBody>
    </xdr:sp>
    <xdr:clientData/>
  </xdr:twoCellAnchor>
  <xdr:twoCellAnchor>
    <xdr:from>
      <xdr:col>9</xdr:col>
      <xdr:colOff>571500</xdr:colOff>
      <xdr:row>127</xdr:row>
      <xdr:rowOff>137160</xdr:rowOff>
    </xdr:from>
    <xdr:to>
      <xdr:col>11</xdr:col>
      <xdr:colOff>480060</xdr:colOff>
      <xdr:row>129</xdr:row>
      <xdr:rowOff>68580</xdr:rowOff>
    </xdr:to>
    <xdr:sp macro="" textlink="">
      <xdr:nvSpPr>
        <xdr:cNvPr id="20" name="Retângulo 1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EED78F39-F6ED-441A-BD59-2B039405FEC7}"/>
            </a:ext>
          </a:extLst>
        </xdr:cNvPr>
        <xdr:cNvSpPr/>
      </xdr:nvSpPr>
      <xdr:spPr>
        <a:xfrm>
          <a:off x="8991600" y="262737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10</a:t>
          </a:r>
        </a:p>
      </xdr:txBody>
    </xdr:sp>
    <xdr:clientData/>
  </xdr:twoCellAnchor>
  <xdr:twoCellAnchor>
    <xdr:from>
      <xdr:col>3</xdr:col>
      <xdr:colOff>2339340</xdr:colOff>
      <xdr:row>130</xdr:row>
      <xdr:rowOff>0</xdr:rowOff>
    </xdr:from>
    <xdr:to>
      <xdr:col>4</xdr:col>
      <xdr:colOff>259080</xdr:colOff>
      <xdr:row>131</xdr:row>
      <xdr:rowOff>114300</xdr:rowOff>
    </xdr:to>
    <xdr:sp macro="" textlink="">
      <xdr:nvSpPr>
        <xdr:cNvPr id="21" name="Retângulo 2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93191157-0C69-4835-AF64-E34082483100}"/>
            </a:ext>
          </a:extLst>
        </xdr:cNvPr>
        <xdr:cNvSpPr/>
      </xdr:nvSpPr>
      <xdr:spPr>
        <a:xfrm>
          <a:off x="4168140" y="266852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11</a:t>
          </a:r>
        </a:p>
      </xdr:txBody>
    </xdr:sp>
    <xdr:clientData/>
  </xdr:twoCellAnchor>
  <xdr:twoCellAnchor>
    <xdr:from>
      <xdr:col>4</xdr:col>
      <xdr:colOff>350520</xdr:colOff>
      <xdr:row>129</xdr:row>
      <xdr:rowOff>175260</xdr:rowOff>
    </xdr:from>
    <xdr:to>
      <xdr:col>5</xdr:col>
      <xdr:colOff>533400</xdr:colOff>
      <xdr:row>131</xdr:row>
      <xdr:rowOff>106680</xdr:rowOff>
    </xdr:to>
    <xdr:sp macro="" textlink="">
      <xdr:nvSpPr>
        <xdr:cNvPr id="22" name="Retângulo 2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2010FFCB-E23A-412F-B3D6-C040287203F3}"/>
            </a:ext>
          </a:extLst>
        </xdr:cNvPr>
        <xdr:cNvSpPr/>
      </xdr:nvSpPr>
      <xdr:spPr>
        <a:xfrm>
          <a:off x="5387340" y="2667762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12</a:t>
          </a:r>
        </a:p>
      </xdr:txBody>
    </xdr:sp>
    <xdr:clientData/>
  </xdr:twoCellAnchor>
  <xdr:twoCellAnchor>
    <xdr:from>
      <xdr:col>6</xdr:col>
      <xdr:colOff>365760</xdr:colOff>
      <xdr:row>87</xdr:row>
      <xdr:rowOff>41910</xdr:rowOff>
    </xdr:from>
    <xdr:to>
      <xdr:col>15</xdr:col>
      <xdr:colOff>243840</xdr:colOff>
      <xdr:row>102</xdr:row>
      <xdr:rowOff>137160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CB4AEBB-AA9A-42A0-BD73-C7F9CFA204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0B4954-8A72-44B2-B75C-C491447DD7AD}" name="Tabela1" displayName="Tabela1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5C06834C-86C8-4031-9419-A082F28FDEF7}" name="Nome do Cliente"/>
    <tableColumn id="2" xr3:uid="{7DC79E4A-9857-430D-B3C3-D109BC62EED2}" name="Data de Atendimento" dataDxfId="71"/>
    <tableColumn id="3" xr3:uid="{FFA08399-AC07-4804-88D3-DFA90A78BBCF}" name="Email"/>
    <tableColumn id="4" xr3:uid="{1F6B27B7-C1E4-42BD-AE36-35074DD85172}" name="Contato"/>
    <tableColumn id="5" xr3:uid="{FF61F75A-82CB-4A12-8F60-A4219859194F}" name="Origem"/>
    <tableColumn id="6" xr3:uid="{48317291-7860-43E6-8DA5-E425FD81ECBA}" name="Visita" dataDxfId="70"/>
    <tableColumn id="7" xr3:uid="{623FA001-A20C-4B64-8457-1FEB5B23B39C}" name="Imóvel"/>
    <tableColumn id="8" xr3:uid="{2DDCCDD4-50CB-4950-AAB6-5A3452BEC8A8}" name="Tipo de Cliente"/>
    <tableColumn id="9" xr3:uid="{DB3FE6AE-E02E-4132-BB87-9F94A79F96AE}" name="Histórico" dataDxfId="69"/>
    <tableColumn id="10" xr3:uid="{B5084764-CD75-4121-A023-CF3CA36F62F0}" name="Venda"/>
  </tableColumns>
  <tableStyleInfo name="TableStyleMedium7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6B46D46-2AC1-4870-8282-6F6296FE5507}" name="Tabela112" displayName="Tabela112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9AE27DF4-7035-4C1F-8A4F-B567B3827A56}" name="Nome do Cliente"/>
    <tableColumn id="2" xr3:uid="{E83126F7-B167-4A82-B2C2-2A808ADA4413}" name="Data de Atendimento" dataDxfId="68"/>
    <tableColumn id="3" xr3:uid="{1CCD41FC-0CFB-43C1-9684-FD76E9EB02A5}" name="Email"/>
    <tableColumn id="4" xr3:uid="{522B9551-9401-4140-9A1E-AF4E2771DC95}" name="Contato"/>
    <tableColumn id="5" xr3:uid="{0AE2E1E6-F714-402C-8830-88994F76E057}" name="Origem"/>
    <tableColumn id="6" xr3:uid="{08D76D61-CC2B-4245-9C56-4D0B4FE3186E}" name="Visita" dataDxfId="67"/>
    <tableColumn id="7" xr3:uid="{5F4630EC-9669-4673-A207-C2922632EEA2}" name="Imóvel"/>
    <tableColumn id="8" xr3:uid="{8A57D337-9C47-41F7-9F2D-00BCCFCA4DCA}" name="Tipo de Cliente"/>
    <tableColumn id="9" xr3:uid="{9AF6CB21-E0B7-431D-AE38-1BB1DADA5B2E}" name="Histórico" dataDxfId="66"/>
    <tableColumn id="10" xr3:uid="{0FC58079-69FC-480F-BCDC-820248A8BC66}" name="Venda"/>
  </tableColumns>
  <tableStyleInfo name="TableStyleMedium7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586F34C-A970-41F1-8AB5-219718CC626C}" name="Tabela11213" displayName="Tabela11213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E4D55C85-6F5F-4C23-9965-981D8AD173B5}" name="Nome do Cliente"/>
    <tableColumn id="2" xr3:uid="{46DD3E89-26C0-4F07-BB05-0718F96E542B}" name="Data de Atendimento" dataDxfId="65"/>
    <tableColumn id="3" xr3:uid="{A229873F-6BC4-41C3-BBC1-FD10594C6939}" name="Email"/>
    <tableColumn id="4" xr3:uid="{8155EEE7-F3C6-4C51-98D9-F387944586BC}" name="Contato"/>
    <tableColumn id="5" xr3:uid="{CBB31866-1489-4854-810D-AE3B3E36A7A5}" name="Origem"/>
    <tableColumn id="6" xr3:uid="{1676B5EF-16EA-4EDA-9DA4-6D3F158EF34D}" name="Visita" dataDxfId="64"/>
    <tableColumn id="7" xr3:uid="{C8C09B53-093A-4242-97C3-FA0BCEEC2623}" name="Imóvel"/>
    <tableColumn id="8" xr3:uid="{7EA82A25-78A6-4670-9830-3BAABB1F4335}" name="Tipo de Cliente"/>
    <tableColumn id="9" xr3:uid="{D9E4652C-A660-46FA-81D4-A42FEC885583}" name="Histórico" dataDxfId="63"/>
    <tableColumn id="10" xr3:uid="{C70F84A5-7760-4543-9D6A-8784ECE4D214}" name="Venda"/>
  </tableColumns>
  <tableStyleInfo name="TableStyleMedium7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5FDF539-9D0A-4D2F-BE9E-0FF6CD00D0B6}" name="Tabela1121314" displayName="Tabela1121314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70DE3AC9-7798-41D8-8403-470D908AA0A3}" name="Nome do Cliente"/>
    <tableColumn id="2" xr3:uid="{7ED11FED-AA5B-4288-82C8-C3DD3A503659}" name="Data de Atendimento" dataDxfId="62"/>
    <tableColumn id="3" xr3:uid="{B05D30DA-9CFA-46EE-9260-279BA0C6C4FC}" name="Email"/>
    <tableColumn id="4" xr3:uid="{7666C9B3-7AD9-400F-9DDB-C6D3DA93A32A}" name="Contato"/>
    <tableColumn id="5" xr3:uid="{58E5307F-62A9-4C5F-B0D7-223690B784E1}" name="Origem"/>
    <tableColumn id="6" xr3:uid="{9E691D90-6B7D-41D8-9216-543FFF9767A9}" name="Visita" dataDxfId="61"/>
    <tableColumn id="7" xr3:uid="{3C3C756C-FB11-423E-B8FB-6B1291780DC1}" name="Imóvel"/>
    <tableColumn id="8" xr3:uid="{DC3BD80D-0F58-4C6E-944B-02B1C7786F4E}" name="Tipo de Cliente"/>
    <tableColumn id="9" xr3:uid="{BDFD947D-6944-4E77-8623-71CA4D0531F0}" name="Histórico" dataDxfId="60"/>
    <tableColumn id="10" xr3:uid="{01F6AB7F-2073-472A-9381-13DC84F4A22A}" name="Venda"/>
  </tableColumns>
  <tableStyleInfo name="TableStyleMedium7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48D35AE-ED53-48A7-BC0F-4093C5D7CEC4}" name="Tabela112131415" displayName="Tabela112131415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63062132-4782-4669-9A74-A4E00FCAC671}" name="Nome do Cliente"/>
    <tableColumn id="2" xr3:uid="{976738B6-46DE-4880-9AC7-36D463E10F65}" name="Data de Atendimento" dataDxfId="59"/>
    <tableColumn id="3" xr3:uid="{E28BB6DA-D8DD-4332-A0E8-0752BE54236F}" name="Email"/>
    <tableColumn id="4" xr3:uid="{AE91098D-BEF5-4AC6-91A4-05722EF0F1FC}" name="Contato"/>
    <tableColumn id="5" xr3:uid="{78B0B001-0D77-4975-ABB3-2C643C1445BB}" name="Origem"/>
    <tableColumn id="6" xr3:uid="{8067DD10-C05F-4618-BFE0-76C5772C1A4C}" name="Visita" dataDxfId="58"/>
    <tableColumn id="7" xr3:uid="{33702C7C-37BE-49A8-9160-81E0A9B33CDE}" name="Imóvel"/>
    <tableColumn id="8" xr3:uid="{60252714-E834-4C2F-843A-FC53BAE9A0CF}" name="Tipo de Cliente"/>
    <tableColumn id="9" xr3:uid="{43B879F7-A222-490B-9EEC-0819B157948F}" name="Histórico" dataDxfId="57"/>
    <tableColumn id="10" xr3:uid="{15A98F03-FA6B-4C9E-AF33-19FF21A5268D}" name="Venda"/>
  </tableColumns>
  <tableStyleInfo name="TableStyleMedium7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154E472-CE8E-47D2-A09C-51843CB9936C}" name="Tabela11213141516" displayName="Tabela11213141516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5F831F04-AC23-4CF8-8842-081FC2917BAD}" name="Nome do Cliente"/>
    <tableColumn id="2" xr3:uid="{690BEA81-056A-43F5-B58B-7FB62F0D3E3D}" name="Data de Atendimento" dataDxfId="56"/>
    <tableColumn id="3" xr3:uid="{7D9C830C-871C-434B-92F1-BA69B86A9DDF}" name="Email"/>
    <tableColumn id="4" xr3:uid="{DA61D354-3FC2-4617-AF16-4EABD5F45FF6}" name="Contato"/>
    <tableColumn id="5" xr3:uid="{45C4E3EF-35F5-40E0-9145-998CFBB9203A}" name="Origem"/>
    <tableColumn id="6" xr3:uid="{E6B9D26D-4A25-44AA-8F95-2D24A561D2CC}" name="Visita" dataDxfId="55"/>
    <tableColumn id="7" xr3:uid="{52AB2001-1DBA-4AFC-BD82-DAFD386C39F7}" name="Imóvel"/>
    <tableColumn id="8" xr3:uid="{9B6793FB-E4CD-4CD8-9191-7B36166AAF3B}" name="Tipo de Cliente"/>
    <tableColumn id="9" xr3:uid="{F334F7EE-9F66-429C-81ED-05EAF7CB7261}" name="Histórico" dataDxfId="54"/>
    <tableColumn id="10" xr3:uid="{FCCE70EF-03B8-45A7-8405-7BF61BAEFFD4}" name="Venda"/>
  </tableColumns>
  <tableStyleInfo name="TableStyleMedium7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775F739-7A89-4B1D-B1E2-17F70AB31327}" name="Tabela1121314151617" displayName="Tabela1121314151617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E23D81DE-1B36-4C82-AC2B-4DA6B8D71B18}" name="Nome do Cliente"/>
    <tableColumn id="2" xr3:uid="{4742E49B-B3E7-4BC8-A89F-480E9091F767}" name="Data de Atendimento" dataDxfId="53"/>
    <tableColumn id="3" xr3:uid="{16B77BE0-07F1-4BAB-9E5A-540C15626253}" name="Email"/>
    <tableColumn id="4" xr3:uid="{4A008E4C-D5C2-4EFC-AC2F-F636F1878A01}" name="Contato"/>
    <tableColumn id="5" xr3:uid="{EA529336-BBA1-4289-B523-9A1C93AC05A8}" name="Origem"/>
    <tableColumn id="6" xr3:uid="{904DC503-8452-4800-A9A8-D606F69F019D}" name="Visita" dataDxfId="52"/>
    <tableColumn id="7" xr3:uid="{9D83E79C-BE69-431E-BCBA-27A55809ABDC}" name="Imóvel"/>
    <tableColumn id="8" xr3:uid="{65B593A5-5553-4EBA-A236-0B73E6053721}" name="Tipo de Cliente"/>
    <tableColumn id="9" xr3:uid="{6ACC2296-2619-4DDA-8E72-10705DBBA486}" name="Histórico" dataDxfId="51"/>
    <tableColumn id="10" xr3:uid="{8A5D7DE8-A350-4EF8-AE04-CD40DCAAFF9F}" name="Venda"/>
  </tableColumns>
  <tableStyleInfo name="TableStyleMedium7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694A400-77F2-49EC-94BE-F8C6CD604CA6}" name="Tabela112131415161718" displayName="Tabela112131415161718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D9E7D243-4F78-4155-889D-14F781A698CA}" name="Nome do Cliente"/>
    <tableColumn id="2" xr3:uid="{B1251BC4-96CF-4838-B8C0-035F1473587B}" name="Data de Atendimento" dataDxfId="50"/>
    <tableColumn id="3" xr3:uid="{62B58FC6-01C4-43E0-9BB9-A8FEC170F508}" name="Email"/>
    <tableColumn id="4" xr3:uid="{DE170507-9D8A-4792-84A3-7D378AE56285}" name="Contato"/>
    <tableColumn id="5" xr3:uid="{E367A4BE-F350-4D80-9D07-8D80EDAF46D0}" name="Origem"/>
    <tableColumn id="6" xr3:uid="{9BDFEA22-EF15-4B14-AA83-F978BA712400}" name="Visita" dataDxfId="49"/>
    <tableColumn id="7" xr3:uid="{EBE5A09A-CE2F-434F-9ECF-47164D358BC6}" name="Imóvel"/>
    <tableColumn id="8" xr3:uid="{2C1AB730-684A-41D8-A661-617AF7D7355B}" name="Tipo de Cliente"/>
    <tableColumn id="9" xr3:uid="{C6D5640E-CB6D-4202-9F31-C59E1A923627}" name="Histórico" dataDxfId="48"/>
    <tableColumn id="10" xr3:uid="{738B39F0-1490-43A0-B797-F85B5D1A062F}" name="Venda"/>
  </tableColumns>
  <tableStyleInfo name="TableStyleMedium7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5F2294B-9BE5-4D8F-B249-A2A979690703}" name="Tabela11213141516171819" displayName="Tabela11213141516171819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23B39B5D-A330-43B9-A29D-4FAE68AD35E2}" name="Nome do Cliente"/>
    <tableColumn id="2" xr3:uid="{C743BE74-62E2-47D9-9830-5A7CFA117B1D}" name="Data de Atendimento" dataDxfId="47"/>
    <tableColumn id="3" xr3:uid="{C56F6749-5C5D-4A0E-94A7-3DF6854085C9}" name="Email"/>
    <tableColumn id="4" xr3:uid="{D7E07D96-4FD1-4AB8-90F3-7CEA9485BE8C}" name="Contato"/>
    <tableColumn id="5" xr3:uid="{A8DC7B65-ECF9-4C6C-95F2-68C57B527514}" name="Origem"/>
    <tableColumn id="6" xr3:uid="{D7D3295E-2A2A-41F9-8AD1-393E15AED708}" name="Visita" dataDxfId="46"/>
    <tableColumn id="7" xr3:uid="{E6A41927-B684-4962-B54C-0A6A8CBA817A}" name="Imóvel"/>
    <tableColumn id="8" xr3:uid="{F8DF43BF-0D6B-4F87-93A7-092806C37996}" name="Tipo de Cliente"/>
    <tableColumn id="9" xr3:uid="{608CB6F9-24D2-400B-9660-6E8D0FB666D2}" name="Histórico" dataDxfId="45"/>
    <tableColumn id="10" xr3:uid="{6A3EB83A-9F18-4168-A6FE-2B148DD39555}" name="Venda"/>
  </tableColumns>
  <tableStyleInfo name="TableStyleMedium7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8D8A416-C555-40F6-8315-090332A8F831}" name="Tabela1121314151617181920" displayName="Tabela1121314151617181920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05FB1E68-DD8E-4DB1-B3C2-45BA978955B9}" name="Nome do Cliente"/>
    <tableColumn id="2" xr3:uid="{06547B00-ECB7-4945-87DB-EEA9FE97F92F}" name="Data de Atendimento" dataDxfId="44"/>
    <tableColumn id="3" xr3:uid="{CF0AE185-4CD5-4211-97A0-41FCD8C91DEF}" name="Email"/>
    <tableColumn id="4" xr3:uid="{E3A5C02C-6A93-4DF9-B681-A2FD7A455479}" name="Contato"/>
    <tableColumn id="5" xr3:uid="{3F00B367-DB0E-4F3D-8458-F110B946F1E9}" name="Origem"/>
    <tableColumn id="6" xr3:uid="{4988AF67-E0B2-4FC4-857F-386E8924B08C}" name="Visita" dataDxfId="43"/>
    <tableColumn id="7" xr3:uid="{9E423CC4-21A6-46FB-BF89-9ED69DED59A3}" name="Imóvel"/>
    <tableColumn id="8" xr3:uid="{0565BD31-3706-404C-9C97-49EED3800F52}" name="Tipo de Cliente"/>
    <tableColumn id="9" xr3:uid="{5E8EA7F4-23CA-4E2F-A9D3-C35CF7E219BA}" name="Histórico" dataDxfId="42"/>
    <tableColumn id="10" xr3:uid="{94E3258F-F8C2-46C7-AE0C-A75172896E6A}" name="Venda"/>
  </tableColumns>
  <tableStyleInfo name="TableStyleMedium7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43BEE57-1032-4A50-84B7-98F3DF304188}" name="Tabela112131415161718192021" displayName="Tabela112131415161718192021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C4F2F030-6866-496D-BDEE-3C588F9CD3C5}" name="Nome do Cliente"/>
    <tableColumn id="2" xr3:uid="{9AD776F7-8CC8-41A6-8CA8-BC66A9A19FBA}" name="Data de Atendimento" dataDxfId="41"/>
    <tableColumn id="3" xr3:uid="{B62FFD25-4A39-41FE-B496-9340BFD6D5B6}" name="Email"/>
    <tableColumn id="4" xr3:uid="{D5B60DBD-C87B-41C0-A6C0-24A4B34FC098}" name="Contato"/>
    <tableColumn id="5" xr3:uid="{0C537157-AB41-4C9D-B493-41482C147C60}" name="Origem"/>
    <tableColumn id="6" xr3:uid="{89915C6D-0BB8-484F-A686-7C5C17DC4919}" name="Visita" dataDxfId="40"/>
    <tableColumn id="7" xr3:uid="{6026CD79-C2F8-4B7F-B752-D4AC23459AB9}" name="Imóvel"/>
    <tableColumn id="8" xr3:uid="{ADA4ECCB-505B-4906-99F3-D50A34533503}" name="Tipo de Cliente"/>
    <tableColumn id="9" xr3:uid="{269B5205-93DB-4664-9910-6855B652B9A4}" name="Histórico" dataDxfId="39"/>
    <tableColumn id="10" xr3:uid="{899B0EFF-8182-4391-8854-0D480630CF79}" name="Venda"/>
  </tableColumns>
  <tableStyleInfo name="TableStyleMedium7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A7DDF4F-6BA2-4B02-B1B4-A1FC73C64B62}" name="Tabela11213141516171819202122" displayName="Tabela11213141516171819202122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FA52ED63-F4E6-4098-BB29-F0BED3E5CDB1}" name="Nome do Cliente"/>
    <tableColumn id="2" xr3:uid="{25C41909-76F6-432E-AA6B-4D2C3499E7A6}" name="Data de Atendimento" dataDxfId="38"/>
    <tableColumn id="3" xr3:uid="{211C95BF-64F7-457C-A7C5-CD5BA046AE96}" name="Email"/>
    <tableColumn id="4" xr3:uid="{C11B46FB-F2FF-4FE8-8CC0-A77FF46474A1}" name="Contato"/>
    <tableColumn id="5" xr3:uid="{A76B040C-D12A-4568-8D83-F50D13D34A9C}" name="Origem"/>
    <tableColumn id="6" xr3:uid="{364AE165-69E4-43C4-8CE4-BCBE2DD27B5C}" name="Visita" dataDxfId="37"/>
    <tableColumn id="7" xr3:uid="{43625F42-BC63-43D4-B2DB-401E879BF1CD}" name="Imóvel"/>
    <tableColumn id="8" xr3:uid="{CB9CB310-C87D-4C13-BA13-A08E31868DDA}" name="Tipo de Cliente"/>
    <tableColumn id="9" xr3:uid="{1E5235E6-2BDF-46EB-AEE8-B6B089E8465D}" name="Histórico" dataDxfId="36"/>
    <tableColumn id="10" xr3:uid="{60AA9F6A-74BD-4D46-B06E-7A9C5FC3FC3A}" name="Venda"/>
  </tableColumns>
  <tableStyleInfo name="TableStyleMedium7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1.xml"/><Relationship Id="rId4" Type="http://schemas.openxmlformats.org/officeDocument/2006/relationships/comments" Target="../comments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3.xml"/><Relationship Id="rId4" Type="http://schemas.openxmlformats.org/officeDocument/2006/relationships/comments" Target="../comments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5.xml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7.xml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9.xml"/><Relationship Id="rId4" Type="http://schemas.openxmlformats.org/officeDocument/2006/relationships/comments" Target="../comments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21.xml"/><Relationship Id="rId4" Type="http://schemas.openxmlformats.org/officeDocument/2006/relationships/comments" Target="../comments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23.xml"/><Relationship Id="rId4" Type="http://schemas.openxmlformats.org/officeDocument/2006/relationships/comments" Target="../comments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82C1D-3DEA-43AB-AF76-1141E5B95510}">
  <sheetPr codeName="Planilha2"/>
  <dimension ref="B2:K182"/>
  <sheetViews>
    <sheetView showGridLines="0" tabSelected="1" zoomScale="85" zoomScaleNormal="85" workbookViewId="0">
      <pane ySplit="2" topLeftCell="A3" activePane="bottomLeft" state="frozen"/>
      <selection pane="bottomLeft" activeCell="G6" sqref="G6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13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3C2234F8-4844-4337-BE3A-671B8C1CB272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5591665B-2193-4793-A8FD-3801E014ABE0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6388B8AA-2D69-47D2-B651-85BC2143DDDB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189D3E9-1EF6-4A72-BB01-9FFC3FB241AB}">
          <x14:formula1>
            <xm:f>cálculos!$B$4:$B$5</xm:f>
          </x14:formula1>
          <xm:sqref>K10:K18</xm:sqref>
        </x14:dataValidation>
        <x14:dataValidation type="list" allowBlank="1" showInputMessage="1" showErrorMessage="1" xr:uid="{2A1099D9-1002-4197-A4E0-99FB610CA97D}">
          <x14:formula1>
            <xm:f>cálculos!$B$7:$B$8</xm:f>
          </x14:formula1>
          <xm:sqref>H10:H18</xm:sqref>
        </x14:dataValidation>
        <x14:dataValidation type="list" allowBlank="1" showInputMessage="1" showErrorMessage="1" xr:uid="{54993D6D-8FEA-4F05-A6C3-77FFFB5246F5}">
          <x14:formula1>
            <xm:f>cálculos!$B$10:$B$11</xm:f>
          </x14:formula1>
          <xm:sqref>I10:I18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87362-A3CE-4811-9E9D-DB252040F044}">
  <sheetPr codeName="Planilha3"/>
  <dimension ref="B2:P21"/>
  <sheetViews>
    <sheetView showGridLines="0" workbookViewId="0">
      <selection activeCell="F14" sqref="F14"/>
    </sheetView>
  </sheetViews>
  <sheetFormatPr defaultRowHeight="14.4" x14ac:dyDescent="0.3"/>
  <cols>
    <col min="3" max="3" width="9.33203125" customWidth="1"/>
    <col min="4" max="4" width="31.5546875" customWidth="1"/>
  </cols>
  <sheetData>
    <row r="2" spans="2:16" s="6" customFormat="1" ht="28.05" customHeight="1" x14ac:dyDescent="0.3">
      <c r="B2" s="7" t="s">
        <v>17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4AF1A-80ED-4A7D-8DCF-C53B62D8624B}">
  <sheetPr codeName="Planilha6"/>
  <dimension ref="B2:K182"/>
  <sheetViews>
    <sheetView showGridLines="0" zoomScale="85" zoomScaleNormal="85" workbookViewId="0">
      <pane ySplit="2" topLeftCell="A3" activePane="bottomLeft" state="frozen"/>
      <selection pane="bottomLeft" activeCell="E6" sqref="E6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25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D15" s="4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920D64D8-CBF7-4918-A845-954B45CF3114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1714F2F0-F22F-4A1E-AA8B-44E92BC72BE3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53554640-6959-4A51-A28E-F350FF079675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860B82B-F547-4C19-B5A8-EF4BB1FEF969}">
          <x14:formula1>
            <xm:f>cálculos!$B$10:$B$11</xm:f>
          </x14:formula1>
          <xm:sqref>I10:I18</xm:sqref>
        </x14:dataValidation>
        <x14:dataValidation type="list" allowBlank="1" showInputMessage="1" showErrorMessage="1" xr:uid="{2BBECEE5-A284-4323-B28F-D9B506BA1C01}">
          <x14:formula1>
            <xm:f>cálculos!$B$7:$B$8</xm:f>
          </x14:formula1>
          <xm:sqref>H10:H18</xm:sqref>
        </x14:dataValidation>
        <x14:dataValidation type="list" allowBlank="1" showInputMessage="1" showErrorMessage="1" xr:uid="{2435672A-EC11-46C3-A943-818CE5E64A02}">
          <x14:formula1>
            <xm:f>cálculos!$B$4:$B$5</xm:f>
          </x14:formula1>
          <xm:sqref>K10:K18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FEECF-D73B-4E1D-9F5C-CC3F02E768F0}">
  <sheetPr codeName="Planilha7"/>
  <dimension ref="B2:P21"/>
  <sheetViews>
    <sheetView showGridLines="0" workbookViewId="0">
      <selection activeCell="L8" sqref="L8"/>
    </sheetView>
  </sheetViews>
  <sheetFormatPr defaultRowHeight="14.4" x14ac:dyDescent="0.3"/>
  <cols>
    <col min="3" max="3" width="9.33203125" customWidth="1"/>
    <col min="4" max="4" width="33.109375" customWidth="1"/>
  </cols>
  <sheetData>
    <row r="2" spans="2:16" s="6" customFormat="1" ht="28.05" customHeight="1" x14ac:dyDescent="0.3">
      <c r="B2" s="7" t="s">
        <v>24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0396C-76C0-4A22-8872-101469CC08E0}">
  <sheetPr codeName="Planilha8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D7" sqref="D7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26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37528FB7-D3DA-4AB6-9BE9-96266BEBF880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921A472E-7887-4F51-8C10-D1E2DBF6177A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1AA8D66A-AF8A-486A-9F45-D50CD9BF3DC1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F169F82-9333-4135-BC97-55A6E6149765}">
          <x14:formula1>
            <xm:f>cálculos!$B$4:$B$5</xm:f>
          </x14:formula1>
          <xm:sqref>K10:K18</xm:sqref>
        </x14:dataValidation>
        <x14:dataValidation type="list" allowBlank="1" showInputMessage="1" showErrorMessage="1" xr:uid="{EABAB70B-3399-457B-A304-98C7185BC783}">
          <x14:formula1>
            <xm:f>cálculos!$B$7:$B$8</xm:f>
          </x14:formula1>
          <xm:sqref>H10:H18</xm:sqref>
        </x14:dataValidation>
        <x14:dataValidation type="list" allowBlank="1" showInputMessage="1" showErrorMessage="1" xr:uid="{805545D7-31EE-4688-9378-4186B8AF363C}">
          <x14:formula1>
            <xm:f>cálculos!$B$10:$B$11</xm:f>
          </x14:formula1>
          <xm:sqref>I10:I18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A601C-4392-4A08-B788-189D1AAE7181}">
  <sheetPr codeName="Planilha9"/>
  <dimension ref="B2:P21"/>
  <sheetViews>
    <sheetView showGridLines="0" workbookViewId="0">
      <selection activeCell="L11" sqref="L11"/>
    </sheetView>
  </sheetViews>
  <sheetFormatPr defaultRowHeight="14.4" x14ac:dyDescent="0.3"/>
  <cols>
    <col min="3" max="3" width="9.33203125" customWidth="1"/>
    <col min="4" max="4" width="31.6640625" customWidth="1"/>
  </cols>
  <sheetData>
    <row r="2" spans="2:16" s="6" customFormat="1" ht="28.05" customHeight="1" x14ac:dyDescent="0.3">
      <c r="B2" s="7" t="s">
        <v>27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2CA74-3727-435C-B371-D372C83CDDCC}">
  <sheetPr codeName="Planilha10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C11" sqref="C11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28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29E5330F-8558-44FF-9344-9A328BD585D8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BFE9C504-2A2A-4B25-9922-F3F3BEA3BDC3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A9EEA9BC-681D-4E9F-A22C-61515557C6A1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3F9521A-12A1-41D2-818F-D38150AED1A1}">
          <x14:formula1>
            <xm:f>cálculos!$B$10:$B$11</xm:f>
          </x14:formula1>
          <xm:sqref>I10:I18</xm:sqref>
        </x14:dataValidation>
        <x14:dataValidation type="list" allowBlank="1" showInputMessage="1" showErrorMessage="1" xr:uid="{7AA7FC86-18DD-4CB3-9F8D-62257597DAB0}">
          <x14:formula1>
            <xm:f>cálculos!$B$7:$B$8</xm:f>
          </x14:formula1>
          <xm:sqref>H10:H18</xm:sqref>
        </x14:dataValidation>
        <x14:dataValidation type="list" allowBlank="1" showInputMessage="1" showErrorMessage="1" xr:uid="{A6E0FDFE-1178-4DA2-A61D-507886A9B25D}">
          <x14:formula1>
            <xm:f>cálculos!$B$4:$B$5</xm:f>
          </x14:formula1>
          <xm:sqref>K10:K18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331BE-B370-4415-A343-BAE69F91571C}">
  <sheetPr codeName="Planilha11"/>
  <dimension ref="B2:P21"/>
  <sheetViews>
    <sheetView showGridLines="0" workbookViewId="0">
      <selection activeCell="M10" sqref="M10"/>
    </sheetView>
  </sheetViews>
  <sheetFormatPr defaultRowHeight="14.4" x14ac:dyDescent="0.3"/>
  <cols>
    <col min="3" max="3" width="9.33203125" customWidth="1"/>
    <col min="4" max="4" width="31.6640625" customWidth="1"/>
  </cols>
  <sheetData>
    <row r="2" spans="2:16" s="6" customFormat="1" ht="28.05" customHeight="1" x14ac:dyDescent="0.3">
      <c r="B2" s="7" t="s">
        <v>29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48F7A-67C5-4F68-8B61-8E1D61EE4A8E}">
  <sheetPr codeName="Planilha12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G6" sqref="G6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30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C6214923-C3D7-4E0D-8949-5948F6D4738A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539E1591-D773-42FC-80B6-F49DF1964C1E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FB754050-D489-4891-B1B7-24A26B73E939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2FBEFA-20A6-4073-A87F-7FFC8AED8781}">
          <x14:formula1>
            <xm:f>cálculos!$B$4:$B$5</xm:f>
          </x14:formula1>
          <xm:sqref>K10:K18</xm:sqref>
        </x14:dataValidation>
        <x14:dataValidation type="list" allowBlank="1" showInputMessage="1" showErrorMessage="1" xr:uid="{F4575875-F02A-462D-8DDE-B01E1BDC69DE}">
          <x14:formula1>
            <xm:f>cálculos!$B$7:$B$8</xm:f>
          </x14:formula1>
          <xm:sqref>H10:H18</xm:sqref>
        </x14:dataValidation>
        <x14:dataValidation type="list" allowBlank="1" showInputMessage="1" showErrorMessage="1" xr:uid="{52BCED6D-96DF-499B-BEDC-5531F1EBDC89}">
          <x14:formula1>
            <xm:f>cálculos!$B$10:$B$11</xm:f>
          </x14:formula1>
          <xm:sqref>I10:I18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273BF-E119-47DB-BFE6-E32EEB42410A}">
  <sheetPr codeName="Planilha13"/>
  <dimension ref="B2:P21"/>
  <sheetViews>
    <sheetView showGridLines="0" workbookViewId="0">
      <selection activeCell="M13" sqref="M13"/>
    </sheetView>
  </sheetViews>
  <sheetFormatPr defaultRowHeight="14.4" x14ac:dyDescent="0.3"/>
  <cols>
    <col min="3" max="3" width="9.33203125" customWidth="1"/>
    <col min="4" max="4" width="34" customWidth="1"/>
  </cols>
  <sheetData>
    <row r="2" spans="2:16" s="6" customFormat="1" ht="28.05" customHeight="1" x14ac:dyDescent="0.3">
      <c r="B2" s="7" t="s">
        <v>31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COUNTIF(Tabela112131415[Tipo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COUNTIF(Tabela112131415[Venda],cálculos!$B$4)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51C3C-A57A-4706-9418-1403D8B2966F}">
  <sheetPr codeName="Planilha14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E6" sqref="E6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32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D84B27AB-A066-4B15-B588-E6BC6608236F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FAEA2101-FC3F-4579-A1C3-3C3F5119D669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25AEB325-C69E-486C-950E-0D2CB3C80F94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2E14C60-21B3-4E8A-A6A2-2A09152D89B5}">
          <x14:formula1>
            <xm:f>cálculos!$B$10:$B$11</xm:f>
          </x14:formula1>
          <xm:sqref>I10:I18</xm:sqref>
        </x14:dataValidation>
        <x14:dataValidation type="list" allowBlank="1" showInputMessage="1" showErrorMessage="1" xr:uid="{63099C1C-AF53-4A6A-B366-E4D000AC9F9A}">
          <x14:formula1>
            <xm:f>cálculos!$B$7:$B$8</xm:f>
          </x14:formula1>
          <xm:sqref>H10:H18</xm:sqref>
        </x14:dataValidation>
        <x14:dataValidation type="list" allowBlank="1" showInputMessage="1" showErrorMessage="1" xr:uid="{662C01D6-1B96-492E-9C17-9A21DDDA344E}">
          <x14:formula1>
            <xm:f>cálculos!$B$4:$B$5</xm:f>
          </x14:formula1>
          <xm:sqref>K10:K18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4DA10-F1C5-4E05-AC4B-0A25959952DE}">
  <sheetPr codeName="Planilha15"/>
  <dimension ref="B2:P21"/>
  <sheetViews>
    <sheetView showGridLines="0" workbookViewId="0">
      <selection activeCell="L10" sqref="L10"/>
    </sheetView>
  </sheetViews>
  <sheetFormatPr defaultRowHeight="14.4" x14ac:dyDescent="0.3"/>
  <cols>
    <col min="3" max="3" width="9.33203125" customWidth="1"/>
    <col min="4" max="4" width="33" customWidth="1"/>
  </cols>
  <sheetData>
    <row r="2" spans="2:16" s="6" customFormat="1" ht="28.05" customHeight="1" x14ac:dyDescent="0.3">
      <c r="B2" s="7" t="s">
        <v>33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COUNTIF(Tabela11213141516[Tipo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COUNTIF(Tabela11213141516[Venda],cálculos!$B$4)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D774C-2CDC-4B7F-883B-934B2C094CD3}">
  <sheetPr codeName="Planilha16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H4" sqref="H4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34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76EF5CFD-CCB0-4642-A8D2-CD74F33BD74C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0E468B29-2EB8-4753-836F-B431FBCC6947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5639D7B5-4B79-4C18-8B13-CC27BBE48C10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2D528F-2647-40D7-AEC6-6DDFC748ED6A}">
          <x14:formula1>
            <xm:f>cálculos!$B$4:$B$5</xm:f>
          </x14:formula1>
          <xm:sqref>K10:K18</xm:sqref>
        </x14:dataValidation>
        <x14:dataValidation type="list" allowBlank="1" showInputMessage="1" showErrorMessage="1" xr:uid="{70F47A37-463D-4776-ABE2-E2ABECB444DE}">
          <x14:formula1>
            <xm:f>cálculos!$B$7:$B$8</xm:f>
          </x14:formula1>
          <xm:sqref>H10:H18</xm:sqref>
        </x14:dataValidation>
        <x14:dataValidation type="list" allowBlank="1" showInputMessage="1" showErrorMessage="1" xr:uid="{2F5914BF-DE98-4602-AFC0-70EF246C27E8}">
          <x14:formula1>
            <xm:f>cálculos!$B$10:$B$11</xm:f>
          </x14:formula1>
          <xm:sqref>I10:I18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24937-9FD4-431D-9BBC-71D6800199B7}">
  <sheetPr codeName="Planilha17"/>
  <dimension ref="B2:P21"/>
  <sheetViews>
    <sheetView showGridLines="0" workbookViewId="0">
      <selection activeCell="N10" sqref="N10"/>
    </sheetView>
  </sheetViews>
  <sheetFormatPr defaultRowHeight="14.4" x14ac:dyDescent="0.3"/>
  <cols>
    <col min="3" max="3" width="9.33203125" customWidth="1"/>
    <col min="4" max="4" width="32.5546875" customWidth="1"/>
  </cols>
  <sheetData>
    <row r="2" spans="2:16" s="6" customFormat="1" ht="28.05" customHeight="1" x14ac:dyDescent="0.3">
      <c r="B2" s="7" t="s">
        <v>35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COUNTIF(Tabela1121314151617[Tipo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COUNTIF(Tabela1121314151617[Venda],cálculos!$B$4)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97550-E4E9-4DFA-8DD6-2E9C7694890C}">
  <sheetPr codeName="Planilha18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E6" sqref="E6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36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ABB99BD8-FFE1-4FAA-AA42-B6A66F307394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4DECFA9D-990E-415F-83CF-772C0E975297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818FC648-B806-4BB4-822A-6C0EA853352B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81D5FD5-0BB5-42BF-8F60-436690DBB364}">
          <x14:formula1>
            <xm:f>cálculos!$B$10:$B$11</xm:f>
          </x14:formula1>
          <xm:sqref>I10:I18</xm:sqref>
        </x14:dataValidation>
        <x14:dataValidation type="list" allowBlank="1" showInputMessage="1" showErrorMessage="1" xr:uid="{426876F2-95B3-43C2-A731-DC2EE1220A94}">
          <x14:formula1>
            <xm:f>cálculos!$B$7:$B$8</xm:f>
          </x14:formula1>
          <xm:sqref>H10:H18</xm:sqref>
        </x14:dataValidation>
        <x14:dataValidation type="list" allowBlank="1" showInputMessage="1" showErrorMessage="1" xr:uid="{EF2C9D15-9F1C-4CB7-BC28-8FCE52C33B21}">
          <x14:formula1>
            <xm:f>cálculos!$B$4:$B$5</xm:f>
          </x14:formula1>
          <xm:sqref>K10:K18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F4A1A-8097-4132-ADEF-2A05325892C5}">
  <sheetPr codeName="Planilha19"/>
  <dimension ref="B2:P21"/>
  <sheetViews>
    <sheetView showGridLines="0" workbookViewId="0">
      <selection activeCell="K13" sqref="K13"/>
    </sheetView>
  </sheetViews>
  <sheetFormatPr defaultRowHeight="14.4" x14ac:dyDescent="0.3"/>
  <cols>
    <col min="3" max="3" width="9.33203125" customWidth="1"/>
    <col min="4" max="4" width="34.33203125" customWidth="1"/>
  </cols>
  <sheetData>
    <row r="2" spans="2:16" s="6" customFormat="1" ht="28.05" customHeight="1" x14ac:dyDescent="0.3">
      <c r="B2" s="7" t="s">
        <v>37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COUNTIF(Tabela112131415161718[Tipo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COUNTIF(Tabela112131415161718[Venda],cálculos!$B$4)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02AB5-E454-4915-8D64-22EA7D7D5877}">
  <sheetPr codeName="Planilha20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H6" sqref="H6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38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F05404CF-3957-4E45-A349-91A1AC4E7140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4C698AE1-6C54-4D55-BEF5-F39EA0A377D2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578B0EBF-7356-44CD-909C-65921BD6D3DF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B998D89-F8C8-4060-833F-FFC54A5B2CE4}">
          <x14:formula1>
            <xm:f>cálculos!$B$4:$B$5</xm:f>
          </x14:formula1>
          <xm:sqref>K10:K18</xm:sqref>
        </x14:dataValidation>
        <x14:dataValidation type="list" allowBlank="1" showInputMessage="1" showErrorMessage="1" xr:uid="{CB7A54E7-552B-42E0-AD9C-4EF1CFF41741}">
          <x14:formula1>
            <xm:f>cálculos!$B$7:$B$8</xm:f>
          </x14:formula1>
          <xm:sqref>H10:H18</xm:sqref>
        </x14:dataValidation>
        <x14:dataValidation type="list" allowBlank="1" showInputMessage="1" showErrorMessage="1" xr:uid="{443E8FCA-DA26-469D-916D-F61E159C089B}">
          <x14:formula1>
            <xm:f>cálculos!$B$10:$B$11</xm:f>
          </x14:formula1>
          <xm:sqref>I10:I18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8372D-A990-465B-A531-1D2FEBF4E500}">
  <sheetPr codeName="Planilha21"/>
  <dimension ref="B2:P21"/>
  <sheetViews>
    <sheetView showGridLines="0" workbookViewId="0">
      <selection activeCell="M13" sqref="M13"/>
    </sheetView>
  </sheetViews>
  <sheetFormatPr defaultRowHeight="14.4" x14ac:dyDescent="0.3"/>
  <cols>
    <col min="3" max="3" width="9.33203125" customWidth="1"/>
    <col min="4" max="4" width="31.33203125" customWidth="1"/>
  </cols>
  <sheetData>
    <row r="2" spans="2:16" s="6" customFormat="1" ht="28.05" customHeight="1" x14ac:dyDescent="0.3">
      <c r="B2" s="7" t="s">
        <v>39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COUNTIF(Tabela11213141516171819[Visita],"&gt;0")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COUNTIF(Tabela11213141516171819[Data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COUNTIF(Tabela11213141516171819[Tipo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COUNTIF(Tabela11213141516171819[Tipo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COUNTIF(Tabela11213141516171819[Venda],cálculos!$B$4)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564C6-5109-48C3-9A61-EFEB5B6BB20F}">
  <sheetPr codeName="Planilha22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G7" sqref="G7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40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2958FC8E-08BD-46EA-BD39-95791784A18E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A949EAE9-B0BF-43EC-84EB-802738C982D4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83980E3A-99F5-4E84-BAFD-124964F6576B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3A662D8-14B3-4983-A3EB-98610B63B470}">
          <x14:formula1>
            <xm:f>cálculos!$B$10:$B$11</xm:f>
          </x14:formula1>
          <xm:sqref>I10:I18</xm:sqref>
        </x14:dataValidation>
        <x14:dataValidation type="list" allowBlank="1" showInputMessage="1" showErrorMessage="1" xr:uid="{22BDDA7B-4FC9-4C1A-8AC1-6E6667764905}">
          <x14:formula1>
            <xm:f>cálculos!$B$7:$B$8</xm:f>
          </x14:formula1>
          <xm:sqref>H10:H18</xm:sqref>
        </x14:dataValidation>
        <x14:dataValidation type="list" allowBlank="1" showInputMessage="1" showErrorMessage="1" xr:uid="{524D33D4-EB26-4B94-BDE9-820B29C504A0}">
          <x14:formula1>
            <xm:f>cálculos!$B$4:$B$5</xm:f>
          </x14:formula1>
          <xm:sqref>K10:K18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03271-F085-4465-8E4C-2DB6C18498F2}">
  <sheetPr codeName="Planilha23"/>
  <dimension ref="B2:P21"/>
  <sheetViews>
    <sheetView showGridLines="0" workbookViewId="0">
      <selection activeCell="M14" sqref="M14"/>
    </sheetView>
  </sheetViews>
  <sheetFormatPr defaultRowHeight="14.4" x14ac:dyDescent="0.3"/>
  <cols>
    <col min="3" max="3" width="9.33203125" customWidth="1"/>
    <col min="4" max="4" width="32.5546875" customWidth="1"/>
  </cols>
  <sheetData>
    <row r="2" spans="2:16" s="6" customFormat="1" ht="28.05" customHeight="1" x14ac:dyDescent="0.3">
      <c r="B2" s="7" t="s">
        <v>41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COUNTIF(Tabela1121314151617181920[Visita],"&gt;0")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COUNTIF(Tabela1121314151617181920[Data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COUNTIF(Tabela1121314151617181920[Tipo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COUNTIF(Tabela1121314151617181920[Tipo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COUNTIF(Tabela1121314151617181920[Venda],cálculos!$B$4)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4381D-6C3D-41C0-9EE5-D4FA8EAB87AD}">
  <sheetPr codeName="Planilha24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H5" sqref="H5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42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DD9593A8-E472-41D0-938C-320CCCA492BE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B35B5A14-4839-4CA9-8ADC-A8C89B22A749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1E756A55-D871-4990-999B-DC2F66A9E46A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AA4E92E-F8BC-4764-9330-75560E04CD3D}">
          <x14:formula1>
            <xm:f>cálculos!$B$4:$B$5</xm:f>
          </x14:formula1>
          <xm:sqref>K10:K18</xm:sqref>
        </x14:dataValidation>
        <x14:dataValidation type="list" allowBlank="1" showInputMessage="1" showErrorMessage="1" xr:uid="{80642384-87E1-463F-9A03-811C79BC28B4}">
          <x14:formula1>
            <xm:f>cálculos!$B$7:$B$8</xm:f>
          </x14:formula1>
          <xm:sqref>H10:H18</xm:sqref>
        </x14:dataValidation>
        <x14:dataValidation type="list" allowBlank="1" showInputMessage="1" showErrorMessage="1" xr:uid="{F36C82D8-0D06-47FE-AC4F-4039A9E6E786}">
          <x14:formula1>
            <xm:f>cálculos!$B$10:$B$11</xm:f>
          </x14:formula1>
          <xm:sqref>I10:I18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52AB2-70A2-4532-A763-1C17555B1611}">
  <sheetPr codeName="Planilha25"/>
  <dimension ref="B2:P21"/>
  <sheetViews>
    <sheetView showGridLines="0" workbookViewId="0">
      <selection activeCell="M11" sqref="M11"/>
    </sheetView>
  </sheetViews>
  <sheetFormatPr defaultRowHeight="14.4" x14ac:dyDescent="0.3"/>
  <cols>
    <col min="3" max="3" width="9.33203125" customWidth="1"/>
    <col min="4" max="4" width="32.44140625" customWidth="1"/>
  </cols>
  <sheetData>
    <row r="2" spans="2:16" s="6" customFormat="1" ht="28.05" customHeight="1" x14ac:dyDescent="0.3">
      <c r="B2" s="7" t="s">
        <v>43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COUNTIF(Tabela112131415161718192021[Visita],"&gt;0")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COUNTIF(Tabela112131415161718192021[Data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COUNTIF(Tabela112131415161718192021[Tipo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COUNTIF(Tabela112131415161718192021[Tipo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COUNTIF(Tabela112131415161718192021[Venda],cálculos!$B$4)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9571B-155B-4C04-95D2-8F23070AD8FF}">
  <sheetPr codeName="Planilha26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E7" sqref="E7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44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1165DB69-C277-4C6B-B530-D28421B3CE4C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29EC225C-80F0-4E8C-8351-3805A2BE6EF1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2119AABD-B64C-4F03-9BCB-28FE631716A1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8EBCF5-FF59-422F-9B8F-4EAFFC8620D5}">
          <x14:formula1>
            <xm:f>cálculos!$B$10:$B$11</xm:f>
          </x14:formula1>
          <xm:sqref>I10:I18</xm:sqref>
        </x14:dataValidation>
        <x14:dataValidation type="list" allowBlank="1" showInputMessage="1" showErrorMessage="1" xr:uid="{CB984916-F0B9-4025-B397-754AEF5A0279}">
          <x14:formula1>
            <xm:f>cálculos!$B$7:$B$8</xm:f>
          </x14:formula1>
          <xm:sqref>H10:H18</xm:sqref>
        </x14:dataValidation>
        <x14:dataValidation type="list" allowBlank="1" showInputMessage="1" showErrorMessage="1" xr:uid="{5D9F04A9-E98E-4371-9187-C70CE25019EA}">
          <x14:formula1>
            <xm:f>cálculos!$B$4:$B$5</xm:f>
          </x14:formula1>
          <xm:sqref>K10:K18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19D2-FD54-4F06-9FEB-A9A853FC1301}">
  <sheetPr codeName="Planilha27"/>
  <dimension ref="B2:P21"/>
  <sheetViews>
    <sheetView showGridLines="0" workbookViewId="0">
      <selection activeCell="M14" sqref="M14"/>
    </sheetView>
  </sheetViews>
  <sheetFormatPr defaultRowHeight="14.4" x14ac:dyDescent="0.3"/>
  <cols>
    <col min="3" max="3" width="9.33203125" customWidth="1"/>
    <col min="4" max="4" width="31.77734375" customWidth="1"/>
  </cols>
  <sheetData>
    <row r="2" spans="2:16" s="6" customFormat="1" ht="28.05" customHeight="1" x14ac:dyDescent="0.3">
      <c r="B2" s="7" t="s">
        <v>45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COUNTIF(Tabela11213141516171819202122[Visita],"&gt;0")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COUNTIF(Tabela11213141516171819202122[Data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COUNTIF(Tabela11213141516171819202122[Tipo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COUNTIF(Tabela11213141516171819202122[Tipo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COUNTIF(Tabela11213141516171819202122[Venda],cálculos!$B$4)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2E75-29ED-416F-8DA2-5A0D7D8E6D22}">
  <sheetPr codeName="Planilha4"/>
  <dimension ref="B2:P124"/>
  <sheetViews>
    <sheetView showGridLines="0" workbookViewId="0">
      <selection activeCell="R9" sqref="R9"/>
    </sheetView>
  </sheetViews>
  <sheetFormatPr defaultRowHeight="14.4" x14ac:dyDescent="0.3"/>
  <cols>
    <col min="4" max="4" width="46.77734375" customWidth="1"/>
    <col min="5" max="5" width="13.77734375" bestFit="1" customWidth="1"/>
  </cols>
  <sheetData>
    <row r="2" spans="2:16" s="6" customFormat="1" ht="28.05" customHeight="1" x14ac:dyDescent="0.3">
      <c r="B2" s="7" t="s">
        <v>22</v>
      </c>
    </row>
    <row r="4" spans="2:16" ht="15" thickBot="1" x14ac:dyDescent="0.35"/>
    <row r="5" spans="2:16" x14ac:dyDescent="0.3">
      <c r="C5" s="16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7"/>
    </row>
    <row r="6" spans="2:16" x14ac:dyDescent="0.3">
      <c r="C6" s="18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9"/>
    </row>
    <row r="7" spans="2:16" x14ac:dyDescent="0.3">
      <c r="C7" s="1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9"/>
    </row>
    <row r="8" spans="2:16" ht="18" x14ac:dyDescent="0.35">
      <c r="C8" s="18"/>
      <c r="D8" s="11" t="s">
        <v>53</v>
      </c>
      <c r="E8" s="22">
        <f>COUNTIF(Tabela1[Visita],"&gt;0")+COUNTIF(Tabela112[Visita],"&gt;0")+COUNTIF(Tabela11213[Visita],"&gt;0")+COUNTIF(Tabela1121314[Visita],"&gt;0")+COUNTIF(Tabela112131415[Visita],"&gt;0")+COUNTIF(Tabela11213141516[Visita],"&gt;0")+COUNTIF(Tabela1121314151617[Visita],"&gt;0")+COUNTIF(Tabela112131415161718[Visita],"&gt;0")+COUNTIF(Tabela11213141516171819[Visita],"&gt;0")+COUNTIF(Tabela1121314151617181920[Visita],"&gt;0")+COUNTIF(Tabela112131415161718192021[Visita],"&gt;0")+COUNTIF(Tabela11213141516171819202122[Visita],"&gt;0")</f>
        <v>0</v>
      </c>
      <c r="F8" s="14"/>
      <c r="G8" s="14"/>
      <c r="H8" s="14"/>
      <c r="I8" s="14"/>
      <c r="J8" s="14"/>
      <c r="K8" s="14"/>
      <c r="L8" s="14"/>
      <c r="M8" s="14"/>
      <c r="N8" s="14"/>
      <c r="O8" s="14"/>
      <c r="P8" s="19"/>
    </row>
    <row r="9" spans="2:16" ht="18" x14ac:dyDescent="0.35">
      <c r="C9" s="18"/>
      <c r="D9" s="12" t="s">
        <v>54</v>
      </c>
      <c r="E9" s="23">
        <f>COUNTIF(Tabela1[Data de Atendimento],"&gt;0")+COUNTIF(Tabela112[Data de Atendimento],"&gt;0")+COUNTIF(Tabela11213[Data de Atendimento],"&gt;0")+COUNTIF(Tabela1121314[Data de Atendimento],"&gt;0")+COUNTIF(Tabela112131415[Data de Atendimento],"&gt;0")+COUNTIF(Tabela11213141516[Data de Atendimento],"&gt;0")+COUNTIF(Tabela1121314151617[Data de Atendimento],"&gt;0")+COUNTIF(Tabela112131415161718[Data de Atendimento],"&gt;0")+COUNTIF(Tabela11213141516171819[Data de Atendimento],"&gt;0")+COUNTIF(Tabela1121314151617181920[Data de Atendimento],"&gt;0")+COUNTIF(Tabela112131415161718192021[Data de Atendimento],"&gt;0")+COUNTIF(Tabela11213141516171819202122[Data de Atendimento],"&gt;0")</f>
        <v>0</v>
      </c>
      <c r="F9" s="14"/>
      <c r="G9" s="14"/>
      <c r="H9" s="14"/>
      <c r="I9" s="14"/>
      <c r="J9" s="14"/>
      <c r="K9" s="14"/>
      <c r="L9" s="14"/>
      <c r="M9" s="14"/>
      <c r="N9" s="14"/>
      <c r="O9" s="14"/>
      <c r="P9" s="19"/>
    </row>
    <row r="10" spans="2:16" ht="18" x14ac:dyDescent="0.35">
      <c r="C10" s="18"/>
      <c r="D10" s="12" t="s">
        <v>51</v>
      </c>
      <c r="E10" s="12">
        <f>COUNTIF(Tabela1[Tipo de Cliente],cálculos!$B$10)+COUNTIF(Tabela112[Tipo de Cliente],cálculos!$B$10)+COUNTIF(Tabela11213[Tipo de Cliente],cálculos!$B$10)+COUNTIF(Tabela1121314[Tipo de Cliente],cálculos!$B$10)+COUNTIF(Tabela112131415[Tipo de Cliente],cálculos!$B$10)+COUNTIF(Tabela11213141516[Tipo de Cliente],cálculos!$B$10)+COUNTIF(Tabela1121314151617[Tipo de Cliente],cálculos!$B$10)+COUNTIF(Tabela112131415161718[Tipo de Cliente],cálculos!$B$10)+COUNTIF(Tabela11213141516171819[Tipo de Cliente],cálculos!$B$10)+COUNTIF(Tabela1121314151617181920[Tipo de Cliente],cálculos!$B$10)+COUNTIF(Tabela112131415161718192021[Tipo de Cliente],cálculos!$B$10)+COUNTIF(Tabela11213141516171819202122[Tipo de Cliente],cálculos!$B$10)</f>
        <v>0</v>
      </c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9"/>
    </row>
    <row r="11" spans="2:16" ht="18" x14ac:dyDescent="0.35">
      <c r="C11" s="18"/>
      <c r="D11" s="12" t="s">
        <v>52</v>
      </c>
      <c r="E11" s="12">
        <f>COUNTIF(Tabela1[Tipo de Cliente],cálculos!$B$11)+COUNTIF(Tabela112[Tipo de Cliente],cálculos!$B$11)+COUNTIF(Tabela11213[Tipo de Cliente],cálculos!$B$11)+COUNTIF(Tabela1121314[Tipo de Cliente],cálculos!$B$11)+COUNTIF(Tabela112131415[Tipo de Cliente],cálculos!$B$11)+COUNTIF(Tabela11213141516[Tipo de Cliente],cálculos!$B$11)+COUNTIF(Tabela1121314151617[Tipo de Cliente],cálculos!$B$11)+COUNTIF(Tabela112131415161718[Tipo de Cliente],cálculos!$B$11)+COUNTIF(Tabela11213141516171819[Tipo de Cliente],cálculos!$B$11)+COUNTIF(Tabela1121314151617181920[Tipo de Cliente],cálculos!$B$11)+COUNTIF(Tabela112131415161718192021[Tipo de Cliente],cálculos!$B$11)+COUNTIF(Tabela11213141516171819202122[Tipo de Cliente],cálculos!$B$11)</f>
        <v>0</v>
      </c>
      <c r="G11" s="14"/>
      <c r="H11" s="14"/>
      <c r="I11" s="14"/>
      <c r="J11" s="14"/>
      <c r="K11" s="14"/>
      <c r="L11" s="14"/>
      <c r="M11" s="14"/>
      <c r="N11" s="14"/>
      <c r="O11" s="14"/>
      <c r="P11" s="19"/>
    </row>
    <row r="12" spans="2:16" ht="18" x14ac:dyDescent="0.35">
      <c r="C12" s="18"/>
      <c r="D12" s="13" t="s">
        <v>23</v>
      </c>
      <c r="E12" s="13">
        <f>COUNTIF(Tabela1[Venda],cálculos!$B$4)+COUNTIF(Tabela112[Venda],cálculos!$B$4)+COUNTIF(Tabela11213[Venda],cálculos!$B$4)+COUNTIF(Tabela1121314[Venda],cálculos!$B$4)+COUNTIF(Tabela112131415[Venda],cálculos!$B$4)+COUNTIF(Tabela11213141516[Venda],cálculos!$B$4)+COUNTIF(Tabela1121314151617[Venda],cálculos!$B$4)+COUNTIF(Tabela112131415161718[Venda],cálculos!$B$4)+COUNTIF(Tabela11213141516171819[Venda],cálculos!$B$4)+COUNTIF(Tabela1121314151617181920[Venda],cálculos!$B$4)+COUNTIF(Tabela112131415161718192021[Venda],cálculos!$B$4)+COUNTIF(Tabela11213141516171819202122[Venda],cálculos!$B$4)</f>
        <v>0</v>
      </c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9"/>
    </row>
    <row r="13" spans="2:16" x14ac:dyDescent="0.3">
      <c r="C13" s="18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9"/>
    </row>
    <row r="14" spans="2:16" x14ac:dyDescent="0.3">
      <c r="C14" s="18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9"/>
    </row>
    <row r="15" spans="2:16" x14ac:dyDescent="0.3">
      <c r="C15" s="18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9"/>
    </row>
    <row r="16" spans="2:16" x14ac:dyDescent="0.3">
      <c r="C16" s="18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9"/>
    </row>
    <row r="17" spans="3:16" x14ac:dyDescent="0.3">
      <c r="C17" s="18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9"/>
    </row>
    <row r="18" spans="3:16" x14ac:dyDescent="0.3">
      <c r="C18" s="18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9"/>
    </row>
    <row r="19" spans="3:16" x14ac:dyDescent="0.3">
      <c r="C19" s="18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9"/>
    </row>
    <row r="20" spans="3:16" ht="15" thickBot="1" x14ac:dyDescent="0.35">
      <c r="C20" s="20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21"/>
    </row>
    <row r="23" spans="3:16" ht="15" thickBot="1" x14ac:dyDescent="0.35"/>
    <row r="24" spans="3:16" x14ac:dyDescent="0.3">
      <c r="C24" s="16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7"/>
    </row>
    <row r="25" spans="3:16" x14ac:dyDescent="0.3">
      <c r="C25" s="18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9"/>
    </row>
    <row r="26" spans="3:16" ht="18" x14ac:dyDescent="0.35">
      <c r="C26" s="18"/>
      <c r="D26" s="24" t="s">
        <v>46</v>
      </c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9"/>
    </row>
    <row r="27" spans="3:16" x14ac:dyDescent="0.3">
      <c r="C27" s="18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9"/>
    </row>
    <row r="28" spans="3:16" ht="18" x14ac:dyDescent="0.35">
      <c r="C28" s="18"/>
      <c r="D28" s="11" t="s">
        <v>13</v>
      </c>
      <c r="E28" s="22">
        <f>COUNTIF(Tabela1[Visita],"&gt;0")</f>
        <v>0</v>
      </c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9"/>
    </row>
    <row r="29" spans="3:16" ht="18" x14ac:dyDescent="0.35">
      <c r="C29" s="18"/>
      <c r="D29" s="12" t="s">
        <v>25</v>
      </c>
      <c r="E29" s="23">
        <f>COUNTIF(Tabela112[Visita],"&gt;0")</f>
        <v>0</v>
      </c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9"/>
    </row>
    <row r="30" spans="3:16" ht="18" x14ac:dyDescent="0.35">
      <c r="C30" s="18"/>
      <c r="D30" s="12" t="s">
        <v>26</v>
      </c>
      <c r="E30" s="12">
        <f>COUNTIF(Tabela11213[Visita],"&gt;0")</f>
        <v>0</v>
      </c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9"/>
    </row>
    <row r="31" spans="3:16" ht="18" x14ac:dyDescent="0.35">
      <c r="C31" s="18"/>
      <c r="D31" s="12" t="s">
        <v>28</v>
      </c>
      <c r="E31" s="12">
        <f>COUNTIF(Tabela1121314[Visita],"&gt;0")</f>
        <v>0</v>
      </c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9"/>
    </row>
    <row r="32" spans="3:16" ht="18" x14ac:dyDescent="0.35">
      <c r="C32" s="18"/>
      <c r="D32" s="12" t="s">
        <v>30</v>
      </c>
      <c r="E32" s="23">
        <f>COUNTIF(Tabela112131415[Visita],"&gt;0")</f>
        <v>0</v>
      </c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9"/>
    </row>
    <row r="33" spans="3:16" ht="18" x14ac:dyDescent="0.35">
      <c r="C33" s="18"/>
      <c r="D33" s="12" t="s">
        <v>32</v>
      </c>
      <c r="E33" s="23">
        <f>COUNTIF(Tabela11213141516[Visita],"&gt;0")</f>
        <v>0</v>
      </c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9"/>
    </row>
    <row r="34" spans="3:16" ht="18" x14ac:dyDescent="0.35">
      <c r="C34" s="18"/>
      <c r="D34" s="12" t="s">
        <v>34</v>
      </c>
      <c r="E34" s="12">
        <f>COUNTIF(Tabela1121314151617[Visita],"&gt;0")</f>
        <v>0</v>
      </c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9"/>
    </row>
    <row r="35" spans="3:16" ht="18" x14ac:dyDescent="0.35">
      <c r="C35" s="18"/>
      <c r="D35" s="12" t="s">
        <v>36</v>
      </c>
      <c r="E35" s="12">
        <f>COUNTIF(Tabela112131415161718[Visita],"&gt;0")</f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9"/>
    </row>
    <row r="36" spans="3:16" ht="18" x14ac:dyDescent="0.35">
      <c r="C36" s="18"/>
      <c r="D36" s="12" t="s">
        <v>38</v>
      </c>
      <c r="E36" s="23">
        <f>COUNTIF(Tabela11213141516171819[Visita],"&gt;0")</f>
        <v>0</v>
      </c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9"/>
    </row>
    <row r="37" spans="3:16" ht="18" x14ac:dyDescent="0.35">
      <c r="C37" s="18"/>
      <c r="D37" s="12" t="s">
        <v>40</v>
      </c>
      <c r="E37" s="23">
        <f>COUNTIF(Tabela1121314151617181920[Visita],"&gt;0")</f>
        <v>0</v>
      </c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9"/>
    </row>
    <row r="38" spans="3:16" ht="18" x14ac:dyDescent="0.35">
      <c r="C38" s="18"/>
      <c r="D38" s="13" t="s">
        <v>42</v>
      </c>
      <c r="E38" s="12">
        <f>COUNTIF(Tabela112131415161718192021[Visita],"&gt;0")</f>
        <v>0</v>
      </c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9"/>
    </row>
    <row r="39" spans="3:16" ht="18" x14ac:dyDescent="0.35">
      <c r="C39" s="18"/>
      <c r="D39" s="13" t="s">
        <v>44</v>
      </c>
      <c r="E39" s="13">
        <f>COUNTIF(Tabela11213141516171819202122[Visita],"&gt;0")</f>
        <v>0</v>
      </c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9"/>
    </row>
    <row r="40" spans="3:16" x14ac:dyDescent="0.3">
      <c r="C40" s="18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9"/>
    </row>
    <row r="41" spans="3:16" ht="15" thickBot="1" x14ac:dyDescent="0.35">
      <c r="C41" s="20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21"/>
    </row>
    <row r="44" spans="3:16" ht="15" thickBot="1" x14ac:dyDescent="0.35"/>
    <row r="45" spans="3:16" x14ac:dyDescent="0.3">
      <c r="C45" s="16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7"/>
    </row>
    <row r="46" spans="3:16" ht="18" x14ac:dyDescent="0.35">
      <c r="C46" s="18"/>
      <c r="D46" s="24" t="s">
        <v>47</v>
      </c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9"/>
    </row>
    <row r="47" spans="3:16" x14ac:dyDescent="0.3">
      <c r="C47" s="18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9"/>
    </row>
    <row r="48" spans="3:16" ht="18" x14ac:dyDescent="0.35">
      <c r="C48" s="18"/>
      <c r="D48" s="11" t="s">
        <v>13</v>
      </c>
      <c r="E48" s="22">
        <f>COUNTIF(Tabela1[Data de Atendimento],"&gt;0")</f>
        <v>0</v>
      </c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9"/>
    </row>
    <row r="49" spans="3:16" ht="18" x14ac:dyDescent="0.35">
      <c r="C49" s="18"/>
      <c r="D49" s="12" t="s">
        <v>25</v>
      </c>
      <c r="E49" s="23">
        <f>COUNTIF(Tabela112[Data de Atendimento],"&gt;0")</f>
        <v>0</v>
      </c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9"/>
    </row>
    <row r="50" spans="3:16" ht="18" x14ac:dyDescent="0.35">
      <c r="C50" s="18"/>
      <c r="D50" s="12" t="s">
        <v>26</v>
      </c>
      <c r="E50" s="12">
        <f>COUNTIF(Tabela11213[Data de Atendimento],"&gt;0")</f>
        <v>0</v>
      </c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9"/>
    </row>
    <row r="51" spans="3:16" ht="18" x14ac:dyDescent="0.35">
      <c r="C51" s="18"/>
      <c r="D51" s="12" t="s">
        <v>28</v>
      </c>
      <c r="E51" s="12">
        <f>COUNTIF(Tabela1121314[Data de Atendimento],"&gt;0")</f>
        <v>0</v>
      </c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9"/>
    </row>
    <row r="52" spans="3:16" ht="18" x14ac:dyDescent="0.35">
      <c r="C52" s="18"/>
      <c r="D52" s="12" t="s">
        <v>30</v>
      </c>
      <c r="E52" s="23">
        <f>COUNTIF(Tabela112131415[Data de Atendimento],"&gt;0")</f>
        <v>0</v>
      </c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9"/>
    </row>
    <row r="53" spans="3:16" ht="18" x14ac:dyDescent="0.35">
      <c r="C53" s="18"/>
      <c r="D53" s="12" t="s">
        <v>32</v>
      </c>
      <c r="E53" s="23">
        <f>COUNTIF(Tabela11213141516[Data de Atendimento],"&gt;0")</f>
        <v>0</v>
      </c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9"/>
    </row>
    <row r="54" spans="3:16" ht="18" x14ac:dyDescent="0.35">
      <c r="C54" s="18"/>
      <c r="D54" s="12" t="s">
        <v>34</v>
      </c>
      <c r="E54" s="12">
        <f>COUNTIF(Tabela1121314151617[Data de Atendimento],"&gt;0")</f>
        <v>0</v>
      </c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9"/>
    </row>
    <row r="55" spans="3:16" ht="18" x14ac:dyDescent="0.35">
      <c r="C55" s="18"/>
      <c r="D55" s="12" t="s">
        <v>36</v>
      </c>
      <c r="E55" s="12">
        <f>COUNTIF(Tabela112131415161718[Data de Atendimento],"&gt;0")</f>
        <v>0</v>
      </c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9"/>
    </row>
    <row r="56" spans="3:16" ht="18" x14ac:dyDescent="0.35">
      <c r="C56" s="18"/>
      <c r="D56" s="12" t="s">
        <v>38</v>
      </c>
      <c r="E56" s="23">
        <f>COUNTIF(Tabela11213141516171819[Data de Atendimento],"&gt;0")</f>
        <v>0</v>
      </c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9"/>
    </row>
    <row r="57" spans="3:16" ht="18" x14ac:dyDescent="0.35">
      <c r="C57" s="18"/>
      <c r="D57" s="12" t="s">
        <v>40</v>
      </c>
      <c r="E57" s="23">
        <f>COUNTIF(Tabela1121314151617181920[Data de Atendimento],"&gt;0")</f>
        <v>0</v>
      </c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9"/>
    </row>
    <row r="58" spans="3:16" ht="18" x14ac:dyDescent="0.35">
      <c r="C58" s="18"/>
      <c r="D58" s="13" t="s">
        <v>42</v>
      </c>
      <c r="E58" s="12">
        <f>COUNTIF(Tabela112131415161718192021[Data de Atendimento],"&gt;0")</f>
        <v>0</v>
      </c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9"/>
    </row>
    <row r="59" spans="3:16" ht="18" x14ac:dyDescent="0.35">
      <c r="C59" s="18"/>
      <c r="D59" s="13" t="s">
        <v>44</v>
      </c>
      <c r="E59" s="13">
        <f>COUNTIF(Tabela11213141516171819202122[Data de Atendimento],"&gt;0")</f>
        <v>0</v>
      </c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9"/>
    </row>
    <row r="60" spans="3:16" x14ac:dyDescent="0.3">
      <c r="C60" s="18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9"/>
    </row>
    <row r="61" spans="3:16" ht="15" thickBot="1" x14ac:dyDescent="0.35">
      <c r="C61" s="20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21"/>
    </row>
    <row r="64" spans="3:16" ht="15" thickBot="1" x14ac:dyDescent="0.35"/>
    <row r="65" spans="3:16" ht="18" x14ac:dyDescent="0.35">
      <c r="C65" s="25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7"/>
    </row>
    <row r="66" spans="3:16" ht="18" x14ac:dyDescent="0.35">
      <c r="C66" s="18"/>
      <c r="D66" s="24" t="s">
        <v>48</v>
      </c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9"/>
    </row>
    <row r="67" spans="3:16" x14ac:dyDescent="0.3">
      <c r="C67" s="18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9"/>
    </row>
    <row r="68" spans="3:16" ht="18" x14ac:dyDescent="0.35">
      <c r="C68" s="18"/>
      <c r="D68" s="11" t="s">
        <v>13</v>
      </c>
      <c r="E68" s="22">
        <f>COUNTIF(Tabela1[Tipo de Cliente],cálculos!$B$10)</f>
        <v>0</v>
      </c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9"/>
    </row>
    <row r="69" spans="3:16" ht="18" x14ac:dyDescent="0.35">
      <c r="C69" s="18"/>
      <c r="D69" s="12" t="s">
        <v>25</v>
      </c>
      <c r="E69" s="23">
        <f>COUNTIF(Tabela112[Tipo de Cliente],cálculos!$B$10)</f>
        <v>0</v>
      </c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9"/>
    </row>
    <row r="70" spans="3:16" ht="18" x14ac:dyDescent="0.35">
      <c r="C70" s="18"/>
      <c r="D70" s="12" t="s">
        <v>26</v>
      </c>
      <c r="E70" s="12">
        <f>COUNTIF(Tabela11213[Tipo de Cliente],cálculos!$B$10)</f>
        <v>0</v>
      </c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9"/>
    </row>
    <row r="71" spans="3:16" ht="18" x14ac:dyDescent="0.35">
      <c r="C71" s="18"/>
      <c r="D71" s="12" t="s">
        <v>28</v>
      </c>
      <c r="E71" s="12">
        <f>COUNTIF(Tabela1121314[Tipo de Cliente],cálculos!$B$10)</f>
        <v>0</v>
      </c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9"/>
    </row>
    <row r="72" spans="3:16" ht="18" x14ac:dyDescent="0.35">
      <c r="C72" s="18"/>
      <c r="D72" s="12" t="s">
        <v>30</v>
      </c>
      <c r="E72" s="23">
        <f>COUNTIF(Tabela112131415[Tipo de Cliente],cálculos!$B$10)</f>
        <v>0</v>
      </c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9"/>
    </row>
    <row r="73" spans="3:16" ht="18" x14ac:dyDescent="0.35">
      <c r="C73" s="18"/>
      <c r="D73" s="12" t="s">
        <v>32</v>
      </c>
      <c r="E73" s="23">
        <f>COUNTIF(Tabela11213141516[Tipo de Cliente],cálculos!$B$10)</f>
        <v>0</v>
      </c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9"/>
    </row>
    <row r="74" spans="3:16" ht="18" x14ac:dyDescent="0.35">
      <c r="C74" s="18"/>
      <c r="D74" s="12" t="s">
        <v>34</v>
      </c>
      <c r="E74" s="12">
        <f>COUNTIF(Tabela1121314151617[Tipo de Cliente],cálculos!$B$10)</f>
        <v>0</v>
      </c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9"/>
    </row>
    <row r="75" spans="3:16" ht="18" x14ac:dyDescent="0.35">
      <c r="C75" s="18"/>
      <c r="D75" s="12" t="s">
        <v>36</v>
      </c>
      <c r="E75" s="12">
        <f>COUNTIF(Tabela112131415161718[Tipo de Cliente],cálculos!$B$10)</f>
        <v>0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9"/>
    </row>
    <row r="76" spans="3:16" ht="18" x14ac:dyDescent="0.35">
      <c r="C76" s="18"/>
      <c r="D76" s="12" t="s">
        <v>38</v>
      </c>
      <c r="E76" s="23">
        <f>COUNTIF(Tabela11213141516171819[Tipo de Cliente],cálculos!$B$10)</f>
        <v>0</v>
      </c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9"/>
    </row>
    <row r="77" spans="3:16" ht="18" x14ac:dyDescent="0.35">
      <c r="C77" s="18"/>
      <c r="D77" s="12" t="s">
        <v>40</v>
      </c>
      <c r="E77" s="23">
        <f>COUNTIF(Tabela1121314151617181920[Tipo de Cliente],cálculos!$B$10)</f>
        <v>0</v>
      </c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9"/>
    </row>
    <row r="78" spans="3:16" ht="18" x14ac:dyDescent="0.35">
      <c r="C78" s="18"/>
      <c r="D78" s="13" t="s">
        <v>42</v>
      </c>
      <c r="E78" s="12">
        <f>COUNTIF(Tabela112131415161718192021[Tipo de Cliente],cálculos!$B$10)</f>
        <v>0</v>
      </c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9"/>
    </row>
    <row r="79" spans="3:16" ht="18" x14ac:dyDescent="0.35">
      <c r="C79" s="18"/>
      <c r="D79" s="13" t="s">
        <v>44</v>
      </c>
      <c r="E79" s="13">
        <f>COUNTIF(Tabela11213141516171819202122[Tipo de Cliente],cálculos!$B$10)</f>
        <v>0</v>
      </c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9"/>
    </row>
    <row r="80" spans="3:16" x14ac:dyDescent="0.3">
      <c r="C80" s="18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9"/>
    </row>
    <row r="81" spans="3:16" x14ac:dyDescent="0.3">
      <c r="C81" s="18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9"/>
    </row>
    <row r="82" spans="3:16" ht="15" thickBot="1" x14ac:dyDescent="0.35">
      <c r="C82" s="20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21"/>
    </row>
    <row r="85" spans="3:16" ht="15" thickBot="1" x14ac:dyDescent="0.35"/>
    <row r="86" spans="3:16" x14ac:dyDescent="0.3">
      <c r="C86" s="16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7"/>
    </row>
    <row r="87" spans="3:16" ht="18" x14ac:dyDescent="0.35">
      <c r="C87" s="18"/>
      <c r="D87" s="24" t="s">
        <v>48</v>
      </c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9"/>
    </row>
    <row r="88" spans="3:16" x14ac:dyDescent="0.3">
      <c r="C88" s="18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9"/>
    </row>
    <row r="89" spans="3:16" ht="18" x14ac:dyDescent="0.35">
      <c r="C89" s="18"/>
      <c r="D89" s="11" t="s">
        <v>13</v>
      </c>
      <c r="E89" s="22">
        <f>COUNTIF(Tabela1[Tipo de Cliente],cálculos!$B$11)</f>
        <v>0</v>
      </c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9"/>
    </row>
    <row r="90" spans="3:16" ht="18" x14ac:dyDescent="0.35">
      <c r="C90" s="18"/>
      <c r="D90" s="12" t="s">
        <v>25</v>
      </c>
      <c r="E90" s="23">
        <f>COUNTIF(Tabela112[Tipo de Cliente],cálculos!$B$11)</f>
        <v>0</v>
      </c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9"/>
    </row>
    <row r="91" spans="3:16" ht="18" x14ac:dyDescent="0.35">
      <c r="C91" s="18"/>
      <c r="D91" s="12" t="s">
        <v>26</v>
      </c>
      <c r="E91" s="12">
        <f>COUNTIF(Tabela11213[Tipo de Cliente],cálculos!$B$11)</f>
        <v>0</v>
      </c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9"/>
    </row>
    <row r="92" spans="3:16" ht="18" x14ac:dyDescent="0.35">
      <c r="C92" s="18"/>
      <c r="D92" s="12" t="s">
        <v>28</v>
      </c>
      <c r="E92" s="12">
        <f>COUNTIF(Tabela1121314[Tipo de Cliente],cálculos!$B$11)</f>
        <v>0</v>
      </c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9"/>
    </row>
    <row r="93" spans="3:16" ht="18" x14ac:dyDescent="0.35">
      <c r="C93" s="18"/>
      <c r="D93" s="12" t="s">
        <v>30</v>
      </c>
      <c r="E93" s="23">
        <f>COUNTIF(Tabela112131415[Tipo de Cliente],cálculos!$B$11)</f>
        <v>0</v>
      </c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9"/>
    </row>
    <row r="94" spans="3:16" ht="18" x14ac:dyDescent="0.35">
      <c r="C94" s="18"/>
      <c r="D94" s="12" t="s">
        <v>32</v>
      </c>
      <c r="E94" s="23">
        <f>COUNTIF(Tabela11213141516[Tipo de Cliente],cálculos!$B$11)</f>
        <v>0</v>
      </c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9"/>
    </row>
    <row r="95" spans="3:16" ht="18" x14ac:dyDescent="0.35">
      <c r="C95" s="18"/>
      <c r="D95" s="12" t="s">
        <v>34</v>
      </c>
      <c r="E95" s="12">
        <f>COUNTIF(Tabela1121314151617[Tipo de Cliente],cálculos!$B$11)</f>
        <v>0</v>
      </c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9"/>
    </row>
    <row r="96" spans="3:16" ht="18" x14ac:dyDescent="0.35">
      <c r="C96" s="18"/>
      <c r="D96" s="12" t="s">
        <v>36</v>
      </c>
      <c r="E96" s="12">
        <f>COUNTIF(Tabela112131415161718[Tipo de Cliente],cálculos!$B$11)</f>
        <v>0</v>
      </c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9"/>
    </row>
    <row r="97" spans="3:16" ht="18" x14ac:dyDescent="0.35">
      <c r="C97" s="18"/>
      <c r="D97" s="12" t="s">
        <v>38</v>
      </c>
      <c r="E97" s="23">
        <f>COUNTIF(Tabela11213141516171819[Tipo de Cliente],cálculos!$B$11)</f>
        <v>0</v>
      </c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9"/>
    </row>
    <row r="98" spans="3:16" ht="18" x14ac:dyDescent="0.35">
      <c r="C98" s="18"/>
      <c r="D98" s="12" t="s">
        <v>40</v>
      </c>
      <c r="E98" s="23">
        <f>COUNTIF(Tabela1121314151617181920[Tipo de Cliente],cálculos!$B$11)</f>
        <v>0</v>
      </c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9"/>
    </row>
    <row r="99" spans="3:16" ht="18" x14ac:dyDescent="0.35">
      <c r="C99" s="18"/>
      <c r="D99" s="13" t="s">
        <v>42</v>
      </c>
      <c r="E99" s="12">
        <f>COUNTIF(Tabela112131415161718192021[Tipo de Cliente],cálculos!$B$11)</f>
        <v>0</v>
      </c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9"/>
    </row>
    <row r="100" spans="3:16" ht="18" x14ac:dyDescent="0.35">
      <c r="C100" s="18"/>
      <c r="D100" s="13" t="s">
        <v>44</v>
      </c>
      <c r="E100" s="13">
        <f>COUNTIF(Tabela11213141516171819202122[Tipo de Cliente],cálculos!$B$11)</f>
        <v>0</v>
      </c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9"/>
    </row>
    <row r="101" spans="3:16" x14ac:dyDescent="0.3">
      <c r="C101" s="18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9"/>
    </row>
    <row r="102" spans="3:16" x14ac:dyDescent="0.3">
      <c r="C102" s="18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9"/>
    </row>
    <row r="103" spans="3:16" x14ac:dyDescent="0.3">
      <c r="C103" s="18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9"/>
    </row>
    <row r="104" spans="3:16" ht="15" thickBot="1" x14ac:dyDescent="0.35">
      <c r="C104" s="20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21"/>
    </row>
    <row r="108" spans="3:16" ht="15" thickBot="1" x14ac:dyDescent="0.35"/>
    <row r="109" spans="3:16" x14ac:dyDescent="0.3">
      <c r="C109" s="16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7"/>
    </row>
    <row r="110" spans="3:16" ht="18" x14ac:dyDescent="0.35">
      <c r="C110" s="18"/>
      <c r="D110" s="24" t="s">
        <v>49</v>
      </c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9"/>
    </row>
    <row r="111" spans="3:16" x14ac:dyDescent="0.3">
      <c r="C111" s="18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9"/>
    </row>
    <row r="112" spans="3:16" ht="18" x14ac:dyDescent="0.35">
      <c r="C112" s="18"/>
      <c r="D112" s="11" t="s">
        <v>13</v>
      </c>
      <c r="E112" s="22">
        <f>COUNTIF(Tabela1[Venda],cálculos!$B$4)</f>
        <v>0</v>
      </c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9"/>
    </row>
    <row r="113" spans="3:16" ht="18" x14ac:dyDescent="0.35">
      <c r="C113" s="18"/>
      <c r="D113" s="12" t="s">
        <v>25</v>
      </c>
      <c r="E113" s="23">
        <f>COUNTIF(Tabela112[Venda],cálculos!$B$4)</f>
        <v>0</v>
      </c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9"/>
    </row>
    <row r="114" spans="3:16" ht="18" x14ac:dyDescent="0.35">
      <c r="C114" s="18"/>
      <c r="D114" s="12" t="s">
        <v>26</v>
      </c>
      <c r="E114" s="12">
        <f>COUNTIF(Tabela11213[Venda],cálculos!$B$4)</f>
        <v>0</v>
      </c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9"/>
    </row>
    <row r="115" spans="3:16" ht="18" x14ac:dyDescent="0.35">
      <c r="C115" s="18"/>
      <c r="D115" s="12" t="s">
        <v>28</v>
      </c>
      <c r="E115" s="12">
        <f>COUNTIF(Tabela1121314[Venda],cálculos!$B$4)</f>
        <v>0</v>
      </c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9"/>
    </row>
    <row r="116" spans="3:16" ht="18" x14ac:dyDescent="0.35">
      <c r="C116" s="18"/>
      <c r="D116" s="12" t="s">
        <v>30</v>
      </c>
      <c r="E116" s="23">
        <f>COUNTIF(Tabela112131415[Venda],cálculos!$B$4)</f>
        <v>0</v>
      </c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9"/>
    </row>
    <row r="117" spans="3:16" ht="18" x14ac:dyDescent="0.35">
      <c r="C117" s="18"/>
      <c r="D117" s="12" t="s">
        <v>32</v>
      </c>
      <c r="E117" s="23">
        <f>COUNTIF(Tabela11213141516[Venda],cálculos!$B$4)</f>
        <v>0</v>
      </c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9"/>
    </row>
    <row r="118" spans="3:16" ht="18" x14ac:dyDescent="0.35">
      <c r="C118" s="18"/>
      <c r="D118" s="12" t="s">
        <v>34</v>
      </c>
      <c r="E118" s="12">
        <f>COUNTIF(Tabela1121314151617[Venda],cálculos!$B$4)</f>
        <v>0</v>
      </c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9"/>
    </row>
    <row r="119" spans="3:16" ht="18" x14ac:dyDescent="0.35">
      <c r="C119" s="18"/>
      <c r="D119" s="12" t="s">
        <v>36</v>
      </c>
      <c r="E119" s="12">
        <f>COUNTIF(Tabela112131415161718[Venda],cálculos!$B$4)</f>
        <v>0</v>
      </c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9"/>
    </row>
    <row r="120" spans="3:16" ht="18" x14ac:dyDescent="0.35">
      <c r="C120" s="18"/>
      <c r="D120" s="12" t="s">
        <v>38</v>
      </c>
      <c r="E120" s="23">
        <f>COUNTIF(Tabela11213141516171819[Venda],cálculos!$B$4)</f>
        <v>0</v>
      </c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9"/>
    </row>
    <row r="121" spans="3:16" ht="18" x14ac:dyDescent="0.35">
      <c r="C121" s="18"/>
      <c r="D121" s="12" t="s">
        <v>40</v>
      </c>
      <c r="E121" s="23">
        <f>COUNTIF(Tabela1121314151617181920[Venda],cálculos!$B$4)</f>
        <v>0</v>
      </c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9"/>
    </row>
    <row r="122" spans="3:16" ht="18" x14ac:dyDescent="0.35">
      <c r="C122" s="18"/>
      <c r="D122" s="13" t="s">
        <v>42</v>
      </c>
      <c r="E122" s="12">
        <f>COUNTIF(Tabela112131415161718192021[Venda],cálculos!$B$4)</f>
        <v>0</v>
      </c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9"/>
    </row>
    <row r="123" spans="3:16" ht="18" x14ac:dyDescent="0.35">
      <c r="C123" s="18"/>
      <c r="D123" s="13" t="s">
        <v>44</v>
      </c>
      <c r="E123" s="13">
        <f>COUNTIF(Tabela11213141516171819202122[Venda],cálculos!$B$4)</f>
        <v>0</v>
      </c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9"/>
    </row>
    <row r="124" spans="3:16" ht="15" thickBot="1" x14ac:dyDescent="0.35">
      <c r="C124" s="20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21"/>
    </row>
  </sheetData>
  <phoneticPr fontId="7" type="noConversion"/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ACACC-9AB6-4878-A4AC-F29D022D7A16}">
  <sheetPr codeName="Planilha5"/>
  <dimension ref="B4:B11"/>
  <sheetViews>
    <sheetView workbookViewId="0">
      <selection activeCell="C10" sqref="C10"/>
    </sheetView>
  </sheetViews>
  <sheetFormatPr defaultRowHeight="14.4" x14ac:dyDescent="0.3"/>
  <sheetData>
    <row r="4" spans="2:2" x14ac:dyDescent="0.3">
      <c r="B4" t="s">
        <v>14</v>
      </c>
    </row>
    <row r="5" spans="2:2" x14ac:dyDescent="0.3">
      <c r="B5" t="s">
        <v>12</v>
      </c>
    </row>
    <row r="7" spans="2:2" x14ac:dyDescent="0.3">
      <c r="B7" t="s">
        <v>10</v>
      </c>
    </row>
    <row r="8" spans="2:2" x14ac:dyDescent="0.3">
      <c r="B8" t="s">
        <v>15</v>
      </c>
    </row>
    <row r="10" spans="2:2" x14ac:dyDescent="0.3">
      <c r="B10" t="s">
        <v>16</v>
      </c>
    </row>
    <row r="11" spans="2:2" x14ac:dyDescent="0.3">
      <c r="B11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Mês 1</vt:lpstr>
      <vt:lpstr>Análise Mês 1</vt:lpstr>
      <vt:lpstr>Mês 2</vt:lpstr>
      <vt:lpstr>Análise Mês 2</vt:lpstr>
      <vt:lpstr>Mês 3</vt:lpstr>
      <vt:lpstr>Análise Mês 3</vt:lpstr>
      <vt:lpstr>Mês 4</vt:lpstr>
      <vt:lpstr>Análise Mês 4</vt:lpstr>
      <vt:lpstr>Mês 5</vt:lpstr>
      <vt:lpstr>Análise Mês 5</vt:lpstr>
      <vt:lpstr>Mês 6</vt:lpstr>
      <vt:lpstr>Análise Mês 6</vt:lpstr>
      <vt:lpstr>Mês 7</vt:lpstr>
      <vt:lpstr>Análise Mês 7</vt:lpstr>
      <vt:lpstr>Mês 8</vt:lpstr>
      <vt:lpstr>Análise Mês 8</vt:lpstr>
      <vt:lpstr>Mês 9</vt:lpstr>
      <vt:lpstr>Análise Mês 9</vt:lpstr>
      <vt:lpstr>Mês 10</vt:lpstr>
      <vt:lpstr>Análise Mês 10</vt:lpstr>
      <vt:lpstr>Mês 11</vt:lpstr>
      <vt:lpstr>Análise Mês 11</vt:lpstr>
      <vt:lpstr>Mês 12</vt:lpstr>
      <vt:lpstr>Análise Mês 12</vt:lpstr>
      <vt:lpstr>Resultados</vt:lpstr>
      <vt:lpstr>cálculos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karen</dc:creator>
  <cp:lastModifiedBy>karen</cp:lastModifiedBy>
  <dcterms:created xsi:type="dcterms:W3CDTF">2020-04-06T20:06:06Z</dcterms:created>
  <dcterms:modified xsi:type="dcterms:W3CDTF">2020-04-07T03:23:48Z</dcterms:modified>
</cp:coreProperties>
</file>