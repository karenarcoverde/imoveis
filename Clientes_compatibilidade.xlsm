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aren\Downloads\"/>
    </mc:Choice>
  </mc:AlternateContent>
  <xr:revisionPtr revIDLastSave="0" documentId="13_ncr:1_{54B8EFB1-C157-4009-9D4F-B4656B58D56E}" xr6:coauthVersionLast="45" xr6:coauthVersionMax="45" xr10:uidLastSave="{00000000-0000-0000-0000-000000000000}"/>
  <bookViews>
    <workbookView xWindow="-108" yWindow="-108" windowWidth="23256" windowHeight="12576" xr2:uid="{2DBF6239-EF66-478B-94C4-57E5C69312C3}"/>
  </bookViews>
  <sheets>
    <sheet name="Mês 1" sheetId="1" r:id="rId1"/>
    <sheet name="Análise Mês 1" sheetId="10" r:id="rId2"/>
    <sheet name="Mês 2" sheetId="40" r:id="rId3"/>
    <sheet name="Análise Mês 2" sheetId="41" r:id="rId4"/>
    <sheet name="Mês 3" sheetId="42" r:id="rId5"/>
    <sheet name="Análise Mês 3" sheetId="43" r:id="rId6"/>
    <sheet name="Mês 4" sheetId="45" r:id="rId7"/>
    <sheet name="Análise Mês 4" sheetId="46" r:id="rId8"/>
    <sheet name="Mês 5" sheetId="47" r:id="rId9"/>
    <sheet name="Análise Mês 5" sheetId="48" r:id="rId10"/>
    <sheet name="Mês 6" sheetId="49" r:id="rId11"/>
    <sheet name="Análise Mês 6" sheetId="50" r:id="rId12"/>
    <sheet name="Mês 7" sheetId="51" r:id="rId13"/>
    <sheet name="Análise Mês 7" sheetId="52" r:id="rId14"/>
    <sheet name="Mês 8" sheetId="53" r:id="rId15"/>
    <sheet name="Análise Mês 8" sheetId="54" r:id="rId16"/>
    <sheet name="Mês 9" sheetId="55" r:id="rId17"/>
    <sheet name="Análise Mês 9" sheetId="56" r:id="rId18"/>
    <sheet name="Mês 10" sheetId="57" r:id="rId19"/>
    <sheet name="Análise Mês 10" sheetId="58" r:id="rId20"/>
    <sheet name="Mês 11" sheetId="59" r:id="rId21"/>
    <sheet name="Análise Mês 11" sheetId="60" r:id="rId22"/>
    <sheet name="Mês 12" sheetId="61" r:id="rId23"/>
    <sheet name="Análise Mês 12" sheetId="62" r:id="rId24"/>
    <sheet name="Resultados" sheetId="9" r:id="rId25"/>
    <sheet name="cálculos" sheetId="4" state="hidden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1" i="46" l="1"/>
  <c r="E91" i="9" l="1"/>
  <c r="E93" i="9"/>
  <c r="E100" i="9"/>
  <c r="E99" i="9"/>
  <c r="E98" i="9"/>
  <c r="E97" i="9"/>
  <c r="E96" i="9"/>
  <c r="E95" i="9"/>
  <c r="E94" i="9"/>
  <c r="E92" i="9"/>
  <c r="E90" i="9"/>
  <c r="E89" i="9"/>
  <c r="E11" i="9"/>
  <c r="F14" i="62"/>
  <c r="F14" i="60"/>
  <c r="F14" i="58"/>
  <c r="F14" i="56"/>
  <c r="F14" i="54"/>
  <c r="F14" i="52"/>
  <c r="F14" i="50"/>
  <c r="F14" i="48"/>
  <c r="F14" i="46"/>
  <c r="F14" i="43"/>
  <c r="F14" i="41"/>
  <c r="F14" i="10"/>
  <c r="F13" i="10"/>
  <c r="F11" i="10"/>
  <c r="E123" i="9" l="1"/>
  <c r="E122" i="9"/>
  <c r="E121" i="9"/>
  <c r="E120" i="9"/>
  <c r="E119" i="9"/>
  <c r="E118" i="9"/>
  <c r="E117" i="9"/>
  <c r="E116" i="9"/>
  <c r="E115" i="9"/>
  <c r="E114" i="9"/>
  <c r="E113" i="9"/>
  <c r="E112" i="9"/>
  <c r="E12" i="9"/>
  <c r="E79" i="9"/>
  <c r="E78" i="9"/>
  <c r="E77" i="9"/>
  <c r="E76" i="9"/>
  <c r="E75" i="9"/>
  <c r="E74" i="9"/>
  <c r="E73" i="9"/>
  <c r="E68" i="9"/>
  <c r="E69" i="9"/>
  <c r="E70" i="9"/>
  <c r="E71" i="9"/>
  <c r="E72" i="9"/>
  <c r="E10" i="9"/>
  <c r="E59" i="9"/>
  <c r="E58" i="9"/>
  <c r="E57" i="9"/>
  <c r="E56" i="9"/>
  <c r="E55" i="9"/>
  <c r="E54" i="9"/>
  <c r="E53" i="9"/>
  <c r="E52" i="9"/>
  <c r="E51" i="9"/>
  <c r="E50" i="9"/>
  <c r="E49" i="9"/>
  <c r="E48" i="9"/>
  <c r="E9" i="9"/>
  <c r="E39" i="9"/>
  <c r="E38" i="9"/>
  <c r="E37" i="9"/>
  <c r="E36" i="9"/>
  <c r="E35" i="9"/>
  <c r="E34" i="9"/>
  <c r="E33" i="9"/>
  <c r="E32" i="9"/>
  <c r="E31" i="9"/>
  <c r="E30" i="9"/>
  <c r="E29" i="9"/>
  <c r="E28" i="9"/>
  <c r="E8" i="9"/>
  <c r="F15" i="62"/>
  <c r="F13" i="62"/>
  <c r="F12" i="62"/>
  <c r="F11" i="62"/>
  <c r="F15" i="60"/>
  <c r="F13" i="60"/>
  <c r="F12" i="60"/>
  <c r="F11" i="60"/>
  <c r="F15" i="58"/>
  <c r="F13" i="58"/>
  <c r="F12" i="58"/>
  <c r="F11" i="58"/>
  <c r="F15" i="56"/>
  <c r="F13" i="56"/>
  <c r="F12" i="56"/>
  <c r="F11" i="56"/>
  <c r="F15" i="54"/>
  <c r="F13" i="54"/>
  <c r="F12" i="54"/>
  <c r="F11" i="54"/>
  <c r="F15" i="52"/>
  <c r="F13" i="52"/>
  <c r="F12" i="52"/>
  <c r="F11" i="52"/>
  <c r="F15" i="50"/>
  <c r="F13" i="50"/>
  <c r="F12" i="50"/>
  <c r="F11" i="50"/>
  <c r="F15" i="48"/>
  <c r="F13" i="48"/>
  <c r="F12" i="48"/>
  <c r="F11" i="48"/>
  <c r="F15" i="46"/>
  <c r="F13" i="46"/>
  <c r="F12" i="46"/>
  <c r="F15" i="43"/>
  <c r="F13" i="43"/>
  <c r="F12" i="43"/>
  <c r="F11" i="43"/>
  <c r="F15" i="41"/>
  <c r="F13" i="41"/>
  <c r="F12" i="41"/>
  <c r="F11" i="41"/>
  <c r="F15" i="10" l="1"/>
  <c r="F1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0F048B-2F88-43FD-B105-16F5488315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966EF2A9-556D-4389-953A-553F133262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123C242-DE19-4806-B938-37CD96A8481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5EE2855-2769-42D5-BD9C-EA890262BBC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2476425-776B-4679-838A-D06F3A19EA3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382ED67D-A8E8-45F8-A196-0E2357D479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D4BCCF2-6666-41F7-9EE1-F9BE8C698F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F8B51FE-C823-4706-A326-89681725C05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81DB194-4680-4406-8C9A-FC81A8D3F9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410DAAC5-1158-49CA-BDD7-93914945B90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788B800-D75C-48C3-AAD6-EB0DC43C5F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E6E0833-5BA3-4A01-B780-9C9B4CE1DF3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CDE55843-A945-4189-A47D-2766FE98003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0FD352E-EE16-49FE-A313-5B32A8B57E7A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DEA9E5A5-1A82-40E1-A51B-E47F0B57E03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C34A66-D20D-41A3-9385-FF2615BD8E9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F7FC5FF-08DA-424C-A59D-1DE0E25B75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3E326A3-C14B-4DB6-85B8-353DC1E8AE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110FDED-20FB-4CA1-8BAC-14B06EC5E46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358E970-BDC2-4A9A-AFD7-DB9E3D4667A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82ED9A1-4031-4031-A6D6-D423B28D798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A9FBE3E2-F992-40EC-846F-CCDC48204A1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<sst xmlns="http://schemas.openxmlformats.org/spreadsheetml/2006/main" count="281" uniqueCount="56">
  <si>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</si>
  <si>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</si>
  <si>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</si>
  <si>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</si>
  <si>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</si>
  <si>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</si>
  <si>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</si>
  <si>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</si>
  <si>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</si>
  <si>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</si>
  <si>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</si>
  <si>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</si>
  <si>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</si>
  <si>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</si>
  <si>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</si>
  <si>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</si>
  <si>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</si>
  <si>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</si>
  <si>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</si>
  <si>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</si>
  <si>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</si>
  <si>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</si>
  <si>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</si>
  <si>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</si>
  <si>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</si>
  <si>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</si>
  <si>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</si>
  <si>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</si>
  <si>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</si>
  <si>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</si>
  <si>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</si>
  <si>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</si>
  <si>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</si>
  <si>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</si>
  <si>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</si>
  <si>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</si>
  <si>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</si>
  <si>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</si>
  <si>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</si>
  <si>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</si>
  <si>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</si>
  <si>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</si>
  <si>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</si>
  <si>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</si>
  <si>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</si>
  <si>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</si>
  <si>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</si>
  <si>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</si>
  <si>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</si>
  <si>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</si>
  <si>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</si>
  <si>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</si>
  <si>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Clientes Pesquisando </t>
  </si>
  <si>
    <t xml:space="preserve">Quantidade Total de Visitas </t>
  </si>
  <si>
    <t xml:space="preserve">Quantidade Total de Clientes Atendidos </t>
  </si>
  <si>
    <t>Quantidade de Cliente Pesquisando por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</si>
</sst>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  <xf numFmtId="0" fontId="9" fillId="0" borderId="0" xfId="1" applyFont="1"/>
    <xf numFmtId="0" fontId="0" fillId="0" borderId="0" xfId="0" applyAlignment="1">
      <alignment vertical="center" wrapText="1"/>
    </xf>
  </cellXfs>
  <cellStyles count="2">
    <cellStyle name="Hiperlink" xfId="1" builtinId="8"/>
    <cellStyle name="Normal" xfId="0" builtinId="0"/>
  </cellStyles>
  <dxfs count="72"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047265966754154"/>
          <c:y val="0.13467592592592595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Resultados!$D$8:$D$12</c:f>
              <c:strCache>
                <c:ptCount val="5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Clientes Pesquisando </c:v>
                </c:pt>
                <c:pt idx="4">
                  <c:v>Vendas Efetivadas Totais</c:v>
                </c:pt>
              </c:strCache>
            </c:strRef>
          </c:cat>
          <c:val>
            <c:numRef>
              <c:f>Resultados!$E$8:$E$12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Resultados!$D$28:$D$39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Resultados!$E$28:$E$39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Resultados!$D$48:$D$59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Resultados!$E$48:$E$59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Resultados!$D$68:$D$79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Resultados!$E$68:$E$79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Resultados!$D$112:$D$123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Resultados!$E$112:$E$123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Resultados!$D$89:$D$100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Resultados!$E$89:$E$100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1" Type="http://schemas.openxmlformats.org/officeDocument/2006/relationships/chart" Target="../charts/chart1.xml"/><Relationship Id="rId6" Type="http://schemas.openxmlformats.org/officeDocument/2006/relationships/hyperlink" Target="#Resultados!D133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E9BCC60-E0F6-4436-8A23-E383EE61D846}"/>
            </a:ext>
          </a:extLst>
        </xdr:cNvPr>
        <xdr:cNvSpPr/>
      </xdr:nvSpPr>
      <xdr:spPr>
        <a:xfrm>
          <a:off x="681317" y="138056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5" name="Retângulo 4">
          <a:extLst>
            <a:ext uri="{FF2B5EF4-FFF2-40B4-BE49-F238E27FC236}">
              <a16:creationId xmlns:a16="http://schemas.microsoft.com/office/drawing/2014/main" id="{A7856FDB-2E3A-491F-BB2C-1E44A68A6425}"/>
            </a:ext>
          </a:extLst>
        </xdr:cNvPr>
        <xdr:cNvSpPr/>
      </xdr:nvSpPr>
      <xdr:spPr>
        <a:xfrm>
          <a:off x="2510117" y="1389530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5255DF5-29A3-4C6B-9A06-42C7D2A55FBE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5517DCD8-6AFF-416F-94E4-1FA51A426C02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5A5D6FA7-7A5F-4157-B849-65EDD58D17D6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25E9B714-6E10-46F1-99C2-A930BB83A877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11</xdr:col>
      <xdr:colOff>259975</xdr:colOff>
      <xdr:row>18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BFE2FE31-E3EB-4089-A9AD-5EE0DED3105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3B7CE93-7F30-4944-8F7C-B0A08A0B46B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DF71E9A8-8E98-4C0B-9053-0D3E9F73E445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CCF78E6-B867-4D80-964E-C553BFF105D9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52701CC-70DD-4E50-931A-D28DC5D5BF7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713A2BB2-19AC-4B61-830F-A4D8AFA596EC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AFC7665-63FB-4550-9B15-F842F3B44B07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7C4A4A2-579F-47FF-A64B-23654DFE6DE1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66FB864C-4F48-42CE-B2EB-0C97695DB91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5E52B32-E3C6-401C-A370-1BF10F96DBE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26895</xdr:rowOff>
    </xdr:from>
    <xdr:to>
      <xdr:col>4</xdr:col>
      <xdr:colOff>1541928</xdr:colOff>
      <xdr:row>1</xdr:row>
      <xdr:rowOff>295836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0618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C17F99E-CA7D-4586-AABB-3B0BF5C55E6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ED3474F4-A7FA-46A3-A68E-D7B86921AEE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360D40E4-CFE1-46E8-B6F0-FFD61DAE08AC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B5F477A-E144-4466-9D36-EB84E95313CB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2B0553E5-7577-4C21-9324-C8CA3521FE59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C37847D-DE00-4795-8036-49F1E6884AD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058BA4E-284E-44B8-8584-672830C1CFF3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6E9126D6-7C95-4EB6-B466-0F17AD0C0525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26</xdr:row>
      <xdr:rowOff>118110</xdr:rowOff>
    </xdr:from>
    <xdr:to>
      <xdr:col>15</xdr:col>
      <xdr:colOff>365760</xdr:colOff>
      <xdr:row>38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46</xdr:row>
      <xdr:rowOff>80010</xdr:rowOff>
    </xdr:from>
    <xdr:to>
      <xdr:col>15</xdr:col>
      <xdr:colOff>403860</xdr:colOff>
      <xdr:row>58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66</xdr:row>
      <xdr:rowOff>38100</xdr:rowOff>
    </xdr:from>
    <xdr:to>
      <xdr:col>15</xdr:col>
      <xdr:colOff>350520</xdr:colOff>
      <xdr:row>80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109</xdr:row>
      <xdr:rowOff>129540</xdr:rowOff>
    </xdr:from>
    <xdr:to>
      <xdr:col>15</xdr:col>
      <xdr:colOff>373380</xdr:colOff>
      <xdr:row>123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2324100</xdr:colOff>
      <xdr:row>125</xdr:row>
      <xdr:rowOff>99060</xdr:rowOff>
    </xdr:from>
    <xdr:to>
      <xdr:col>4</xdr:col>
      <xdr:colOff>243840</xdr:colOff>
      <xdr:row>127</xdr:row>
      <xdr:rowOff>30480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4152900" y="258699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335280</xdr:colOff>
      <xdr:row>125</xdr:row>
      <xdr:rowOff>91440</xdr:rowOff>
    </xdr:from>
    <xdr:to>
      <xdr:col>5</xdr:col>
      <xdr:colOff>518160</xdr:colOff>
      <xdr:row>127</xdr:row>
      <xdr:rowOff>22860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372100" y="258622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7620</xdr:colOff>
      <xdr:row>125</xdr:row>
      <xdr:rowOff>91440</xdr:rowOff>
    </xdr:from>
    <xdr:to>
      <xdr:col>7</xdr:col>
      <xdr:colOff>525780</xdr:colOff>
      <xdr:row>127</xdr:row>
      <xdr:rowOff>22860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598920" y="258622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7</xdr:col>
      <xdr:colOff>594360</xdr:colOff>
      <xdr:row>125</xdr:row>
      <xdr:rowOff>83820</xdr:rowOff>
    </xdr:from>
    <xdr:to>
      <xdr:col>9</xdr:col>
      <xdr:colOff>502920</xdr:colOff>
      <xdr:row>127</xdr:row>
      <xdr:rowOff>15240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795260" y="258546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9</xdr:col>
      <xdr:colOff>579120</xdr:colOff>
      <xdr:row>125</xdr:row>
      <xdr:rowOff>83820</xdr:rowOff>
    </xdr:from>
    <xdr:to>
      <xdr:col>11</xdr:col>
      <xdr:colOff>487680</xdr:colOff>
      <xdr:row>127</xdr:row>
      <xdr:rowOff>15240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8999220" y="258546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2324100</xdr:colOff>
      <xdr:row>127</xdr:row>
      <xdr:rowOff>144780</xdr:rowOff>
    </xdr:from>
    <xdr:to>
      <xdr:col>4</xdr:col>
      <xdr:colOff>243840</xdr:colOff>
      <xdr:row>129</xdr:row>
      <xdr:rowOff>76200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4152900" y="262813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350520</xdr:colOff>
      <xdr:row>127</xdr:row>
      <xdr:rowOff>129540</xdr:rowOff>
    </xdr:from>
    <xdr:to>
      <xdr:col>5</xdr:col>
      <xdr:colOff>533400</xdr:colOff>
      <xdr:row>129</xdr:row>
      <xdr:rowOff>60960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387340" y="262661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7620</xdr:colOff>
      <xdr:row>127</xdr:row>
      <xdr:rowOff>129540</xdr:rowOff>
    </xdr:from>
    <xdr:to>
      <xdr:col>7</xdr:col>
      <xdr:colOff>525780</xdr:colOff>
      <xdr:row>129</xdr:row>
      <xdr:rowOff>60960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598920" y="262661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7</xdr:col>
      <xdr:colOff>586740</xdr:colOff>
      <xdr:row>127</xdr:row>
      <xdr:rowOff>137160</xdr:rowOff>
    </xdr:from>
    <xdr:to>
      <xdr:col>9</xdr:col>
      <xdr:colOff>495300</xdr:colOff>
      <xdr:row>129</xdr:row>
      <xdr:rowOff>68580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787640" y="262737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9</xdr:col>
      <xdr:colOff>571500</xdr:colOff>
      <xdr:row>127</xdr:row>
      <xdr:rowOff>137160</xdr:rowOff>
    </xdr:from>
    <xdr:to>
      <xdr:col>11</xdr:col>
      <xdr:colOff>480060</xdr:colOff>
      <xdr:row>129</xdr:row>
      <xdr:rowOff>68580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8991600" y="262737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2339340</xdr:colOff>
      <xdr:row>130</xdr:row>
      <xdr:rowOff>0</xdr:rowOff>
    </xdr:from>
    <xdr:to>
      <xdr:col>4</xdr:col>
      <xdr:colOff>259080</xdr:colOff>
      <xdr:row>131</xdr:row>
      <xdr:rowOff>114300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4168140" y="266852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350520</xdr:colOff>
      <xdr:row>129</xdr:row>
      <xdr:rowOff>175260</xdr:rowOff>
    </xdr:from>
    <xdr:to>
      <xdr:col>5</xdr:col>
      <xdr:colOff>533400</xdr:colOff>
      <xdr:row>131</xdr:row>
      <xdr:rowOff>106680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387340" y="266776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87</xdr:row>
      <xdr:rowOff>41910</xdr:rowOff>
    </xdr:from>
    <xdr:to>
      <xdr:col>15</xdr:col>
      <xdr:colOff>243840</xdr:colOff>
      <xdr:row>102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4AEBB-AA9A-42A0-BD73-C7F9CFA20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C06834C-86C8-4031-9419-A082F28FDEF7}" name="Nome do Cliente"/>
    <tableColumn id="2" xr3:uid="{7DC79E4A-9857-430D-B3C3-D109BC62EED2}" name="Data de Atendimento" dataDxfId="68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67"/>
    <tableColumn id="7" xr3:uid="{623FA001-A20C-4B64-8457-1FEB5B23B39C}" name="Imóvel"/>
    <tableColumn id="8" xr3:uid="{2DDCCDD4-50CB-4950-AAB6-5A3452BEC8A8}" name="Tipo de Cliente"/>
    <tableColumn id="9" xr3:uid="{DB3FE6AE-E02E-4132-BB87-9F94A79F96AE}" name="Histórico" dataDxfId="66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9AE27DF4-7035-4C1F-8A4F-B567B3827A56}" name="Nome do Cliente"/>
    <tableColumn id="2" xr3:uid="{E83126F7-B167-4A82-B2C2-2A808ADA4413}" name="Data de Atendimento" dataDxfId="62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61"/>
    <tableColumn id="7" xr3:uid="{5F4630EC-9669-4673-A207-C2922632EEA2}" name="Imóvel"/>
    <tableColumn id="8" xr3:uid="{8A57D337-9C47-41F7-9F2D-00BCCFCA4DCA}" name="Tipo de Cliente"/>
    <tableColumn id="9" xr3:uid="{9AF6CB21-E0B7-431D-AE38-1BB1DADA5B2E}" name="Histórico" dataDxfId="60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K17" totalsRowShown="0">
  <autoFilter ref="B9:K17" xr:uid="{B4C8BFDF-03C3-4F90-AAB7-44373F6D6BB4}"/>
  <sortState xmlns:xlrd2="http://schemas.microsoft.com/office/spreadsheetml/2017/richdata2" ref="B10:K34">
    <sortCondition descending="1" ref="C9:C34"/>
  </sortState>
  <tableColumns count="10">
    <tableColumn id="1" xr3:uid="{E4D55C85-6F5F-4C23-9965-981D8AD173B5}" name="Nome do Cliente"/>
    <tableColumn id="2" xr3:uid="{46DD3E89-26C0-4F07-BB05-0718F96E542B}" name="Data de Atendimento" dataDxfId="56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55"/>
    <tableColumn id="7" xr3:uid="{C8C09B53-093A-4242-97C3-FA0BCEEC2623}" name="Imóvel"/>
    <tableColumn id="8" xr3:uid="{7EA82A25-78A6-4670-9830-3BAABB1F4335}" name="Tipo de Cliente"/>
    <tableColumn id="9" xr3:uid="{D9E4652C-A660-46FA-81D4-A42FEC885583}" name="Histórico" dataDxfId="54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70DE3AC9-7798-41D8-8403-470D908AA0A3}" name="Nome do Cliente"/>
    <tableColumn id="2" xr3:uid="{7ED11FED-AA5B-4288-82C8-C3DD3A503659}" name="Data de Atendimento" dataDxfId="50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49"/>
    <tableColumn id="7" xr3:uid="{3C3C756C-FB11-423E-B8FB-6B1291780DC1}" name="Imóvel"/>
    <tableColumn id="8" xr3:uid="{DC3BD80D-0F58-4C6E-944B-02B1C7786F4E}" name="Tipo de Cliente"/>
    <tableColumn id="9" xr3:uid="{BDFD947D-6944-4E77-8623-71CA4D0531F0}" name="Histórico" dataDxfId="48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63062132-4782-4669-9A74-A4E00FCAC671}" name="Nome do Cliente"/>
    <tableColumn id="2" xr3:uid="{976738B6-46DE-4880-9AC7-36D463E10F65}" name="Data de Atendimento" dataDxfId="44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43"/>
    <tableColumn id="7" xr3:uid="{33702C7C-37BE-49A8-9160-81E0A9B33CDE}" name="Imóvel"/>
    <tableColumn id="8" xr3:uid="{60252714-E834-4C2F-843A-FC53BAE9A0CF}" name="Tipo de Cliente"/>
    <tableColumn id="9" xr3:uid="{43B879F7-A222-490B-9EEC-0819B157948F}" name="Histórico" dataDxfId="42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F831F04-AC23-4CF8-8842-081FC2917BAD}" name="Nome do Cliente"/>
    <tableColumn id="2" xr3:uid="{690BEA81-056A-43F5-B58B-7FB62F0D3E3D}" name="Data de Atendimento" dataDxfId="38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37"/>
    <tableColumn id="7" xr3:uid="{52AB2001-1DBA-4AFC-BD82-DAFD386C39F7}" name="Imóvel"/>
    <tableColumn id="8" xr3:uid="{9B6793FB-E4CD-4CD8-9191-7B36166AAF3B}" name="Tipo de Cliente"/>
    <tableColumn id="9" xr3:uid="{F334F7EE-9F66-429C-81ED-05EAF7CB7261}" name="Histórico" dataDxfId="36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23D81DE-1B36-4C82-AC2B-4DA6B8D71B18}" name="Nome do Cliente"/>
    <tableColumn id="2" xr3:uid="{4742E49B-B3E7-4BC8-A89F-480E9091F767}" name="Data de Atendimento" dataDxfId="32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31"/>
    <tableColumn id="7" xr3:uid="{9D83E79C-BE69-431E-BCBA-27A55809ABDC}" name="Imóvel"/>
    <tableColumn id="8" xr3:uid="{65B593A5-5553-4EBA-A236-0B73E6053721}" name="Tipo de Cliente"/>
    <tableColumn id="9" xr3:uid="{6ACC2296-2619-4DDA-8E72-10705DBBA486}" name="Histórico" dataDxfId="30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D9E7D243-4F78-4155-889D-14F781A698CA}" name="Nome do Cliente"/>
    <tableColumn id="2" xr3:uid="{B1251BC4-96CF-4838-B8C0-035F1473587B}" name="Data de Atendimento" dataDxfId="26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25"/>
    <tableColumn id="7" xr3:uid="{EBE5A09A-CE2F-434F-9ECF-47164D358BC6}" name="Imóvel"/>
    <tableColumn id="8" xr3:uid="{2C1AB730-684A-41D8-A661-617AF7D7355B}" name="Tipo de Cliente"/>
    <tableColumn id="9" xr3:uid="{C6D5640E-CB6D-4202-9F31-C59E1A923627}" name="Histórico" dataDxfId="24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23B39B5D-A330-43B9-A29D-4FAE68AD35E2}" name="Nome do Cliente"/>
    <tableColumn id="2" xr3:uid="{C743BE74-62E2-47D9-9830-5A7CFA117B1D}" name="Data de Atendimento" dataDxfId="20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19"/>
    <tableColumn id="7" xr3:uid="{E6A41927-B684-4962-B54C-0A6A8CBA817A}" name="Imóvel"/>
    <tableColumn id="8" xr3:uid="{F8DF43BF-0D6B-4F87-93A7-092806C37996}" name="Tipo de Cliente"/>
    <tableColumn id="9" xr3:uid="{608CB6F9-24D2-400B-9660-6E8D0FB666D2}" name="Histórico" dataDxfId="18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05FB1E68-DD8E-4DB1-B3C2-45BA978955B9}" name="Nome do Cliente"/>
    <tableColumn id="2" xr3:uid="{06547B00-ECB7-4945-87DB-EEA9FE97F92F}" name="Data de Atendimento" dataDxfId="14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13"/>
    <tableColumn id="7" xr3:uid="{9E423CC4-21A6-46FB-BF89-9ED69DED59A3}" name="Imóvel"/>
    <tableColumn id="8" xr3:uid="{0565BD31-3706-404C-9C97-49EED3800F52}" name="Tipo de Cliente"/>
    <tableColumn id="9" xr3:uid="{5E8EA7F4-23CA-4E2F-A9D3-C35CF7E219BA}" name="Histórico" dataDxfId="12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C4F2F030-6866-496D-BDEE-3C588F9CD3C5}" name="Nome do Cliente"/>
    <tableColumn id="2" xr3:uid="{9AD776F7-8CC8-41A6-8CA8-BC66A9A19FBA}" name="Data de Atendimento" dataDxfId="8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7"/>
    <tableColumn id="7" xr3:uid="{6026CD79-C2F8-4B7F-B752-D4AC23459AB9}" name="Imóvel"/>
    <tableColumn id="8" xr3:uid="{ADA4ECCB-505B-4906-99F3-D50A34533503}" name="Tipo de Cliente"/>
    <tableColumn id="9" xr3:uid="{269B5205-93DB-4664-9910-6855B652B9A4}" name="Histórico" dataDxfId="6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FA52ED63-F4E6-4098-BB29-F0BED3E5CDB1}" name="Nome do Cliente"/>
    <tableColumn id="2" xr3:uid="{25C41909-76F6-432E-AA6B-4D2C3499E7A6}" name="Data de Atendimento" dataDxfId="2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1"/>
    <tableColumn id="7" xr3:uid="{43625F42-BC63-43D4-B2DB-401E879BF1CD}" name="Imóvel"/>
    <tableColumn id="8" xr3:uid="{CB9CB310-C87D-4C13-BA13-A08E31868DDA}" name="Tipo de Cliente"/>
    <tableColumn id="9" xr3:uid="{1E5235E6-2BDF-46EB-AEE8-B6B089E8465D}" name="Histórico" dataDxfId="0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9.xml"/><Relationship Id="rId4" Type="http://schemas.openxmlformats.org/officeDocument/2006/relationships/comments" Target="../comments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1.xml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3.xml"/><Relationship Id="rId4" Type="http://schemas.openxmlformats.org/officeDocument/2006/relationships/comments" Target="../comments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B2:K182"/>
  <sheetViews>
    <sheetView showGridLines="0" tabSelected="1" zoomScale="85" zoomScaleNormal="85" workbookViewId="0">
      <pane ySplit="2" topLeftCell="A3" activePane="bottomLeft" state="frozen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13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K10:K18">
    <cfRule type="cellIs" dxfId="71" priority="2" stopIfTrue="1" operator="equal">
      <formula>"Não comprou"</formula>
    </cfRule>
    <cfRule type="cellIs" dxfId="70" priority="3" stopIfTrue="1" operator="equal">
      <formula>"Comprou"</formula>
    </cfRule>
  </conditionalFormatting>
  <conditionalFormatting sqref="I10:I18">
    <cfRule type="cellIs" dxfId="69" priority="1" stopIfTrue="1" operator="equal">
      <formula>"Potencial"</formula>
    </cfRule>
  </conditionalFormatting>
  <dataValidations count="3">
    <dataValidation type="list" allowBlank="1" showInputMessage="1" showErrorMessage="1" sqref="K10:K18" xr:uid="{2189D3E9-1EF6-4A72-BB01-9FFC3FB241AB}">
      <formula1>"Comprou, Não comprou"</formula1>
    </dataValidation>
    <dataValidation type="list" allowBlank="1" showInputMessage="1" showErrorMessage="1" sqref="H10:H18" xr:uid="{2A1099D9-1002-4197-A4E0-99FB610CA97D}">
      <formula1>"Lançamento, Usado"</formula1>
    </dataValidation>
    <dataValidation type="list" allowBlank="1" showInputMessage="1" showErrorMessage="1" sqref="I10:I18" xr:uid="{54993D6D-8FEA-4F05-A6C3-77FFFB5246F5}">
      <formula1>"Potencial, Pesquisando"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B2:P21"/>
  <sheetViews>
    <sheetView showGridLines="0" workbookViewId="0">
      <selection activeCell="N7" sqref="N7"/>
    </sheetView>
  </sheetViews>
  <sheetFormatPr defaultRowHeight="14.4" x14ac:dyDescent="0.3"/>
  <cols>
    <col min="3" max="3" width="9.33203125" customWidth="1"/>
    <col min="4" max="4" width="31.5546875" customWidth="1"/>
  </cols>
  <sheetData>
    <row r="2" spans="2:16" s="6" customFormat="1" ht="28.05" customHeight="1" x14ac:dyDescent="0.3">
      <c r="B2" s="7" t="s">
        <v>17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B2:K182"/>
  <sheetViews>
    <sheetView showGridLines="0" zoomScale="85" zoomScaleNormal="85" workbookViewId="0">
      <pane ySplit="2" topLeftCell="A3" activePane="bottomLeft" state="frozen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D15" s="4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K10:K18">
    <cfRule type="cellIs" dxfId="65" priority="2" stopIfTrue="1" operator="equal">
      <formula>"Não comprou"</formula>
    </cfRule>
    <cfRule type="cellIs" dxfId="64" priority="3" stopIfTrue="1" operator="equal">
      <formula>"Comprou"</formula>
    </cfRule>
  </conditionalFormatting>
  <conditionalFormatting sqref="I10:I18">
    <cfRule type="cellIs" dxfId="63" priority="1" stopIfTrue="1" operator="equal">
      <formula>"Potencial"</formula>
    </cfRule>
  </conditionalFormatting>
  <dataValidations count="3">
    <dataValidation type="list" allowBlank="1" showInputMessage="1" showErrorMessage="1" sqref="I10:I18" xr:uid="{6860B82B-F547-4C19-B5A8-EF4BB1FEF969}">
      <formula1>"Potencial, Pesquisando"</formula1>
    </dataValidation>
    <dataValidation type="list" allowBlank="1" showInputMessage="1" showErrorMessage="1" sqref="H10:H18" xr:uid="{2BBECEE5-A284-4323-B28F-D9B506BA1C01}">
      <formula1>"Lançamento, Usado"</formula1>
    </dataValidation>
    <dataValidation type="list" allowBlank="1" showInputMessage="1" showErrorMessage="1" sqref="K10:K18" xr:uid="{2435672A-EC11-46C3-A943-818CE5E64A02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B2:P21"/>
  <sheetViews>
    <sheetView showGridLines="0" workbookViewId="0">
      <selection activeCell="L8" sqref="L8"/>
    </sheetView>
  </sheetViews>
  <sheetFormatPr defaultRowHeight="14.4" x14ac:dyDescent="0.3"/>
  <cols>
    <col min="3" max="3" width="9.33203125" customWidth="1"/>
    <col min="4" max="4" width="33.109375" customWidth="1"/>
  </cols>
  <sheetData>
    <row r="2" spans="2:16" s="6" customFormat="1" ht="28.05" customHeight="1" x14ac:dyDescent="0.3">
      <c r="B2" s="7" t="s">
        <v>24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B2:K181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26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2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</sheetData>
  <conditionalFormatting sqref="K10:K17">
    <cfRule type="cellIs" dxfId="59" priority="2" stopIfTrue="1" operator="equal">
      <formula>"Não comprou"</formula>
    </cfRule>
    <cfRule type="cellIs" dxfId="58" priority="3" stopIfTrue="1" operator="equal">
      <formula>"Comprou"</formula>
    </cfRule>
  </conditionalFormatting>
  <conditionalFormatting sqref="I10:I17">
    <cfRule type="cellIs" dxfId="57" priority="1" stopIfTrue="1" operator="equal">
      <formula>"Potencial"</formula>
    </cfRule>
  </conditionalFormatting>
  <dataValidations count="3">
    <dataValidation type="list" allowBlank="1" showInputMessage="1" showErrorMessage="1" sqref="K10:K17" xr:uid="{0F169F82-9333-4135-BC97-55A6E6149765}">
      <formula1>"Comprou, Não comprou"</formula1>
    </dataValidation>
    <dataValidation type="list" allowBlank="1" showInputMessage="1" showErrorMessage="1" sqref="H10:H17" xr:uid="{EABAB70B-3399-457B-A304-98C7185BC783}">
      <formula1>"Lançamento, Usado"</formula1>
    </dataValidation>
    <dataValidation type="list" allowBlank="1" showInputMessage="1" showErrorMessage="1" sqref="I10:I17" xr:uid="{805545D7-31EE-4688-9378-4186B8AF363C}">
      <formula1>"Potencial, Pesquisando"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B2:P21"/>
  <sheetViews>
    <sheetView showGridLines="0" workbookViewId="0">
      <selection activeCell="L11" sqref="L11"/>
    </sheetView>
  </sheetViews>
  <sheetFormatPr defaultRowHeight="14.4" x14ac:dyDescent="0.3"/>
  <cols>
    <col min="3" max="3" width="9.33203125" customWidth="1"/>
    <col min="4" max="4" width="31.6640625" customWidth="1"/>
  </cols>
  <sheetData>
    <row r="2" spans="2:16" s="6" customFormat="1" ht="28.05" customHeight="1" x14ac:dyDescent="0.3">
      <c r="B2" s="7" t="s">
        <v>27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5.44140625" customWidth="1"/>
    <col min="11" max="11" width="14.109375" customWidth="1"/>
  </cols>
  <sheetData>
    <row r="2" spans="2:11" s="6" customFormat="1" ht="28.05" customHeight="1" x14ac:dyDescent="0.3">
      <c r="B2" s="7" t="s">
        <v>28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.6" customHeight="1" x14ac:dyDescent="0.3">
      <c r="C10" s="3"/>
      <c r="G10" s="8"/>
      <c r="J10" s="1"/>
    </row>
    <row r="11" spans="2:11" ht="30" customHeight="1" x14ac:dyDescent="0.3">
      <c r="C11" s="3"/>
      <c r="D11" s="26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27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K10:K18">
    <cfRule type="cellIs" dxfId="53" priority="2" stopIfTrue="1" operator="equal">
      <formula>"Não comprou"</formula>
    </cfRule>
    <cfRule type="cellIs" dxfId="52" priority="3" stopIfTrue="1" operator="equal">
      <formula>"Comprou"</formula>
    </cfRule>
  </conditionalFormatting>
  <conditionalFormatting sqref="I10:I18">
    <cfRule type="cellIs" dxfId="51" priority="1" stopIfTrue="1" operator="equal">
      <formula>"Potencial"</formula>
    </cfRule>
  </conditionalFormatting>
  <dataValidations count="3">
    <dataValidation type="list" allowBlank="1" showInputMessage="1" showErrorMessage="1" sqref="K10:K18" xr:uid="{DABCED0C-196A-4FBB-AB3B-1A08B9EB3AFB}">
      <formula1>"Comprou, Não comprou"</formula1>
    </dataValidation>
    <dataValidation type="list" allowBlank="1" showInputMessage="1" showErrorMessage="1" sqref="H10:H18" xr:uid="{CB82B045-3620-4F96-9B7E-0E2CAEA86522}">
      <formula1>"Lançamento, Usado"</formula1>
    </dataValidation>
    <dataValidation type="list" allowBlank="1" showInputMessage="1" showErrorMessage="1" sqref="I10:I18" xr:uid="{5BE44F2E-E245-41B2-9DF6-4841B8D641F2}">
      <formula1>"Potencial, Pesquisando"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B2:P21"/>
  <sheetViews>
    <sheetView showGridLines="0" workbookViewId="0">
      <selection activeCell="K8" sqref="K8"/>
    </sheetView>
  </sheetViews>
  <sheetFormatPr defaultRowHeight="14.4" x14ac:dyDescent="0.3"/>
  <cols>
    <col min="3" max="3" width="9.33203125" customWidth="1"/>
    <col min="4" max="4" width="31.6640625" customWidth="1"/>
  </cols>
  <sheetData>
    <row r="2" spans="2:16" s="6" customFormat="1" ht="28.05" customHeight="1" x14ac:dyDescent="0.3">
      <c r="B2" s="7" t="s">
        <v>29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30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47" priority="3" stopIfTrue="1" operator="equal">
      <formula>"Potencial"</formula>
    </cfRule>
  </conditionalFormatting>
  <conditionalFormatting sqref="K10:K18">
    <cfRule type="cellIs" dxfId="46" priority="1" stopIfTrue="1" operator="equal">
      <formula>"Não comprou"</formula>
    </cfRule>
    <cfRule type="cellIs" dxfId="45" priority="2" stopIfTrue="1" operator="equal">
      <formula>"Comprou"</formula>
    </cfRule>
  </conditionalFormatting>
  <dataValidations count="3">
    <dataValidation type="list" allowBlank="1" showInputMessage="1" showErrorMessage="1" sqref="H10:H18" xr:uid="{CF96C976-EFD9-43EE-BF4F-C7A676718BBE}">
      <formula1>"Lançamento, Usado"</formula1>
    </dataValidation>
    <dataValidation type="list" allowBlank="1" showInputMessage="1" showErrorMessage="1" sqref="I10:I18" xr:uid="{630F3149-F22F-4287-A152-7F64D7A32993}">
      <formula1>"Potencial, Pesquisando"</formula1>
    </dataValidation>
    <dataValidation type="list" allowBlank="1" showInputMessage="1" showErrorMessage="1" sqref="K10:K18" xr:uid="{DE9660B9-ED09-4160-9B75-BCE57B5BEC31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B2:P21"/>
  <sheetViews>
    <sheetView showGridLines="0" workbookViewId="0">
      <selection activeCell="M13" sqref="M13"/>
    </sheetView>
  </sheetViews>
  <sheetFormatPr defaultRowHeight="14.4" x14ac:dyDescent="0.3"/>
  <cols>
    <col min="3" max="3" width="9.33203125" customWidth="1"/>
    <col min="4" max="4" width="34" customWidth="1"/>
  </cols>
  <sheetData>
    <row r="2" spans="2:16" s="6" customFormat="1" ht="28.05" customHeight="1" x14ac:dyDescent="0.3">
      <c r="B2" s="7" t="s">
        <v>31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32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41" priority="3" stopIfTrue="1" operator="equal">
      <formula>"Potencial"</formula>
    </cfRule>
  </conditionalFormatting>
  <conditionalFormatting sqref="K10:K18">
    <cfRule type="cellIs" dxfId="40" priority="1" stopIfTrue="1" operator="equal">
      <formula>"Não comprou"</formula>
    </cfRule>
    <cfRule type="cellIs" dxfId="39" priority="2" stopIfTrue="1" operator="equal">
      <formula>"Comprou"</formula>
    </cfRule>
  </conditionalFormatting>
  <dataValidations count="3">
    <dataValidation type="list" allowBlank="1" showInputMessage="1" showErrorMessage="1" sqref="H10:H18" xr:uid="{518FA548-6771-4350-B198-9E9E343429E5}">
      <formula1>"Lançamento, Usado"</formula1>
    </dataValidation>
    <dataValidation type="list" allowBlank="1" showInputMessage="1" showErrorMessage="1" sqref="I10:I18" xr:uid="{C64CF806-44E5-439E-894E-60132489124E}">
      <formula1>"Potencial, Pesquisando"</formula1>
    </dataValidation>
    <dataValidation type="list" allowBlank="1" showInputMessage="1" showErrorMessage="1" sqref="K10:K18" xr:uid="{7764DC3F-2534-40FA-99E9-F0527079AF6B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B2:P21"/>
  <sheetViews>
    <sheetView showGridLines="0" workbookViewId="0">
      <selection activeCell="L10" sqref="L10"/>
    </sheetView>
  </sheetViews>
  <sheetFormatPr defaultRowHeight="14.4" x14ac:dyDescent="0.3"/>
  <cols>
    <col min="3" max="3" width="9.33203125" customWidth="1"/>
    <col min="4" max="4" width="33" customWidth="1"/>
  </cols>
  <sheetData>
    <row r="2" spans="2:16" s="6" customFormat="1" ht="28.05" customHeight="1" x14ac:dyDescent="0.3">
      <c r="B2" s="7" t="s">
        <v>33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34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K10:K18">
    <cfRule type="cellIs" dxfId="35" priority="2" stopIfTrue="1" operator="equal">
      <formula>"Não comprou"</formula>
    </cfRule>
    <cfRule type="cellIs" dxfId="34" priority="3" stopIfTrue="1" operator="equal">
      <formula>"Comprou"</formula>
    </cfRule>
  </conditionalFormatting>
  <conditionalFormatting sqref="I10:I18">
    <cfRule type="cellIs" dxfId="33" priority="1" stopIfTrue="1" operator="equal">
      <formula>"Potencial"</formula>
    </cfRule>
  </conditionalFormatting>
  <dataValidations count="3">
    <dataValidation type="list" allowBlank="1" showInputMessage="1" showErrorMessage="1" sqref="K10:K18" xr:uid="{3D72A9AE-44D6-4A15-B16B-BA6149E5613A}">
      <formula1>"Comprou, Não comprou"</formula1>
    </dataValidation>
    <dataValidation type="list" allowBlank="1" showInputMessage="1" showErrorMessage="1" sqref="I10:I18" xr:uid="{7FEF97AA-8BBD-4DCE-A1B5-5D229CAFE416}">
      <formula1>"Potencial, Pesquisando"</formula1>
    </dataValidation>
    <dataValidation type="list" allowBlank="1" showInputMessage="1" showErrorMessage="1" sqref="H10:H18" xr:uid="{C3163542-5F95-4BCC-A20F-12AE5D55E3CF}">
      <formula1>"Lançamento, Usado"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B2:P21"/>
  <sheetViews>
    <sheetView showGridLines="0" workbookViewId="0">
      <selection activeCell="N10" sqref="N10"/>
    </sheetView>
  </sheetViews>
  <sheetFormatPr defaultRowHeight="14.4" x14ac:dyDescent="0.3"/>
  <cols>
    <col min="3" max="3" width="9.33203125" customWidth="1"/>
    <col min="4" max="4" width="32.5546875" customWidth="1"/>
  </cols>
  <sheetData>
    <row r="2" spans="2:16" s="6" customFormat="1" ht="28.05" customHeight="1" x14ac:dyDescent="0.3">
      <c r="B2" s="7" t="s">
        <v>35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36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29" priority="3" stopIfTrue="1" operator="equal">
      <formula>"Potencial"</formula>
    </cfRule>
  </conditionalFormatting>
  <conditionalFormatting sqref="K10:K18">
    <cfRule type="cellIs" dxfId="28" priority="1" stopIfTrue="1" operator="equal">
      <formula>"Não comprou"</formula>
    </cfRule>
    <cfRule type="cellIs" dxfId="27" priority="2" stopIfTrue="1" operator="equal">
      <formula>"Comprou"</formula>
    </cfRule>
  </conditionalFormatting>
  <dataValidations count="3">
    <dataValidation type="list" allowBlank="1" showInputMessage="1" showErrorMessage="1" sqref="H10:H18" xr:uid="{D66EF257-FCCC-4057-BDED-9C8A12163FC1}">
      <formula1>"Lançamento, Usado"</formula1>
    </dataValidation>
    <dataValidation type="list" allowBlank="1" showInputMessage="1" showErrorMessage="1" sqref="I10:I18" xr:uid="{A025C722-598C-418A-88A4-77183C62FBFE}">
      <formula1>"Potencial, Pesquisando"</formula1>
    </dataValidation>
    <dataValidation type="list" allowBlank="1" showInputMessage="1" showErrorMessage="1" sqref="K10:K18" xr:uid="{979EC75D-DB75-4344-9797-CAFBA5CFFF10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B2:P21"/>
  <sheetViews>
    <sheetView showGridLines="0" workbookViewId="0">
      <selection activeCell="K13" sqref="K13"/>
    </sheetView>
  </sheetViews>
  <sheetFormatPr defaultRowHeight="14.4" x14ac:dyDescent="0.3"/>
  <cols>
    <col min="3" max="3" width="9.33203125" customWidth="1"/>
    <col min="4" max="4" width="34.33203125" customWidth="1"/>
  </cols>
  <sheetData>
    <row r="2" spans="2:16" s="6" customFormat="1" ht="28.05" customHeight="1" x14ac:dyDescent="0.3">
      <c r="B2" s="7" t="s">
        <v>37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23" priority="3" stopIfTrue="1" operator="equal">
      <formula>"Potencial"</formula>
    </cfRule>
  </conditionalFormatting>
  <conditionalFormatting sqref="K10:K18">
    <cfRule type="cellIs" dxfId="22" priority="1" stopIfTrue="1" operator="equal">
      <formula>"Não comprou"</formula>
    </cfRule>
    <cfRule type="cellIs" dxfId="21" priority="2" stopIfTrue="1" operator="equal">
      <formula>"Comprou"</formula>
    </cfRule>
  </conditionalFormatting>
  <dataValidations count="3">
    <dataValidation type="list" allowBlank="1" showInputMessage="1" showErrorMessage="1" sqref="H10:H18" xr:uid="{C12C84A2-DBC6-40AA-BAEB-2012ACD208F6}">
      <formula1>"Lançamento, Usado"</formula1>
    </dataValidation>
    <dataValidation type="list" allowBlank="1" showInputMessage="1" showErrorMessage="1" sqref="I10:I18" xr:uid="{9A1D412D-D96E-492D-B248-DC0C4D70189B}">
      <formula1>"Potencial, Pesquisando"</formula1>
    </dataValidation>
    <dataValidation type="list" allowBlank="1" showInputMessage="1" showErrorMessage="1" sqref="K10:K18" xr:uid="{5ACFB94B-5C0D-4E60-878A-8EB23133E419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B2:P21"/>
  <sheetViews>
    <sheetView showGridLines="0" workbookViewId="0">
      <selection activeCell="M13" sqref="M13"/>
    </sheetView>
  </sheetViews>
  <sheetFormatPr defaultRowHeight="14.4" x14ac:dyDescent="0.3"/>
  <cols>
    <col min="3" max="3" width="9.33203125" customWidth="1"/>
    <col min="4" max="4" width="31.33203125" customWidth="1"/>
  </cols>
  <sheetData>
    <row r="2" spans="2:16" s="6" customFormat="1" ht="28.05" customHeight="1" x14ac:dyDescent="0.3">
      <c r="B2" s="7" t="s">
        <v>39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40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17" priority="3" stopIfTrue="1" operator="equal">
      <formula>"Potencial"</formula>
    </cfRule>
  </conditionalFormatting>
  <conditionalFormatting sqref="K10:K18">
    <cfRule type="cellIs" dxfId="16" priority="1" stopIfTrue="1" operator="equal">
      <formula>"Não comprou"</formula>
    </cfRule>
    <cfRule type="cellIs" dxfId="15" priority="2" stopIfTrue="1" operator="equal">
      <formula>"Comprou"</formula>
    </cfRule>
  </conditionalFormatting>
  <dataValidations count="3">
    <dataValidation type="list" allowBlank="1" showInputMessage="1" showErrorMessage="1" sqref="H10:H18" xr:uid="{76B34B4B-6AC0-474D-9E42-A914E6F0CAA8}">
      <formula1>"Lançamento, Usado"</formula1>
    </dataValidation>
    <dataValidation type="list" allowBlank="1" showInputMessage="1" showErrorMessage="1" sqref="I10:I18" xr:uid="{315D4D88-102D-4508-A979-F7256D73BDC2}">
      <formula1>"Potencial, Pesquisando"</formula1>
    </dataValidation>
    <dataValidation type="list" allowBlank="1" showInputMessage="1" showErrorMessage="1" sqref="K10:K18" xr:uid="{9D982D62-E085-47AE-ABAA-DCC8981337C0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B2:P21"/>
  <sheetViews>
    <sheetView showGridLines="0" workbookViewId="0">
      <selection activeCell="M14" sqref="M14"/>
    </sheetView>
  </sheetViews>
  <sheetFormatPr defaultRowHeight="14.4" x14ac:dyDescent="0.3"/>
  <cols>
    <col min="3" max="3" width="9.33203125" customWidth="1"/>
    <col min="4" max="4" width="32.5546875" customWidth="1"/>
  </cols>
  <sheetData>
    <row r="2" spans="2:16" s="6" customFormat="1" ht="28.05" customHeight="1" x14ac:dyDescent="0.3">
      <c r="B2" s="7" t="s">
        <v>41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42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11" priority="3" stopIfTrue="1" operator="equal">
      <formula>"Potencial"</formula>
    </cfRule>
  </conditionalFormatting>
  <conditionalFormatting sqref="K10:K18">
    <cfRule type="cellIs" dxfId="10" priority="1" stopIfTrue="1" operator="equal">
      <formula>"Não comprou"</formula>
    </cfRule>
    <cfRule type="cellIs" dxfId="9" priority="2" stopIfTrue="1" operator="equal">
      <formula>"Comprou"</formula>
    </cfRule>
  </conditionalFormatting>
  <dataValidations count="3">
    <dataValidation type="list" allowBlank="1" showInputMessage="1" showErrorMessage="1" sqref="H10:H18" xr:uid="{34EA6A95-40D8-4D08-8E22-39F1A073C7F7}">
      <formula1>"Lançamento, Usado"</formula1>
    </dataValidation>
    <dataValidation type="list" allowBlank="1" showInputMessage="1" showErrorMessage="1" sqref="I10:I18" xr:uid="{14B86881-F180-43CA-A618-C2E69305CA33}">
      <formula1>"Potencial, Pesquisando"</formula1>
    </dataValidation>
    <dataValidation type="list" allowBlank="1" showInputMessage="1" showErrorMessage="1" sqref="K10:K18" xr:uid="{5E9BB565-863D-4DAB-B38B-6BEBE3EF922F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B2:P21"/>
  <sheetViews>
    <sheetView showGridLines="0" workbookViewId="0">
      <selection activeCell="M11" sqref="M11"/>
    </sheetView>
  </sheetViews>
  <sheetFormatPr defaultRowHeight="14.4" x14ac:dyDescent="0.3"/>
  <cols>
    <col min="3" max="3" width="9.33203125" customWidth="1"/>
    <col min="4" max="4" width="32.44140625" customWidth="1"/>
  </cols>
  <sheetData>
    <row r="2" spans="2:16" s="6" customFormat="1" ht="28.05" customHeight="1" x14ac:dyDescent="0.3">
      <c r="B2" s="7" t="s">
        <v>43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COUNTIF(Tabela112131415161718192021[Tipo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COUNTIF(Tabela112131415161718192021[Venda],cálculos!$B$4)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B10" sqref="B10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44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8"/>
      <c r="J15" s="1"/>
    </row>
    <row r="16" spans="2:11" ht="30" customHeight="1" x14ac:dyDescent="0.3">
      <c r="C16" s="3"/>
      <c r="G16" s="8"/>
      <c r="J16" s="1"/>
    </row>
    <row r="17" spans="3:10" ht="30" customHeight="1" x14ac:dyDescent="0.3">
      <c r="C17" s="3"/>
      <c r="G17" s="8"/>
      <c r="J17" s="1"/>
    </row>
    <row r="18" spans="3:10" ht="30" customHeight="1" x14ac:dyDescent="0.3">
      <c r="C18" s="3"/>
      <c r="G18" s="8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I10:I18">
    <cfRule type="cellIs" dxfId="5" priority="3" stopIfTrue="1" operator="equal">
      <formula>"Potencial"</formula>
    </cfRule>
  </conditionalFormatting>
  <conditionalFormatting sqref="K10:K18">
    <cfRule type="cellIs" dxfId="4" priority="1" stopIfTrue="1" operator="equal">
      <formula>"Não comprou"</formula>
    </cfRule>
    <cfRule type="cellIs" dxfId="3" priority="2" stopIfTrue="1" operator="equal">
      <formula>"Comprou"</formula>
    </cfRule>
  </conditionalFormatting>
  <dataValidations count="3">
    <dataValidation type="list" allowBlank="1" showInputMessage="1" showErrorMessage="1" sqref="H10:H18" xr:uid="{7A5BAE83-4540-4D83-B749-94EC879E6C39}">
      <formula1>"Lançamento, Usado"</formula1>
    </dataValidation>
    <dataValidation type="list" allowBlank="1" showInputMessage="1" showErrorMessage="1" sqref="I10:I18" xr:uid="{51287BA8-8B69-4B84-8220-D666A5975156}">
      <formula1>"Potencial, Pesquisando"</formula1>
    </dataValidation>
    <dataValidation type="list" allowBlank="1" showInputMessage="1" showErrorMessage="1" sqref="K10:K18" xr:uid="{3921E43A-8B00-4899-A821-3A2FF887BFDD}">
      <formula1>"Comprou, Não comprou"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B2:P21"/>
  <sheetViews>
    <sheetView showGridLines="0" workbookViewId="0">
      <selection activeCell="K11" sqref="K11"/>
    </sheetView>
  </sheetViews>
  <sheetFormatPr defaultRowHeight="14.4" x14ac:dyDescent="0.3"/>
  <cols>
    <col min="3" max="3" width="9.33203125" customWidth="1"/>
    <col min="4" max="4" width="31.77734375" customWidth="1"/>
  </cols>
  <sheetData>
    <row r="2" spans="2:16" s="6" customFormat="1" ht="28.05" customHeight="1" x14ac:dyDescent="0.3">
      <c r="B2" s="7" t="s">
        <v>45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COUNTIF(Tabela11213141516171819202122[Visita],"&gt;0")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COUNTIF(Tabela11213141516171819202122[Data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COUNTIF(Tabela11213141516171819202122[Tipo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COUNTIF(Tabela11213141516171819202122[Tipo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COUNTIF(Tabela11213141516171819202122[Venda],cálculos!$B$4)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B2:P124"/>
  <sheetViews>
    <sheetView showGridLines="0" topLeftCell="A106" workbookViewId="0">
      <selection activeCell="D133" sqref="D133"/>
    </sheetView>
  </sheetViews>
  <sheetFormatPr defaultRowHeight="14.4" x14ac:dyDescent="0.3"/>
  <cols>
    <col min="4" max="4" width="46.77734375" customWidth="1"/>
    <col min="5" max="5" width="13.77734375" bestFit="1" customWidth="1"/>
  </cols>
  <sheetData>
    <row r="2" spans="2:16" s="6" customFormat="1" ht="28.05" customHeight="1" x14ac:dyDescent="0.3">
      <c r="B2" s="7" t="s">
        <v>22</v>
      </c>
    </row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53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54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52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23</v>
      </c>
      <c r="E12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x14ac:dyDescent="0.3">
      <c r="C13" s="18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ht="15" thickBot="1" x14ac:dyDescent="0.35">
      <c r="C20" s="20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21"/>
    </row>
    <row r="23" spans="3:16" ht="15" thickBot="1" x14ac:dyDescent="0.35"/>
    <row r="24" spans="3:16" x14ac:dyDescent="0.3">
      <c r="C24" s="16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7"/>
    </row>
    <row r="25" spans="3:16" x14ac:dyDescent="0.3">
      <c r="C25" s="18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9"/>
    </row>
    <row r="26" spans="3:16" ht="18" x14ac:dyDescent="0.35">
      <c r="C26" s="18"/>
      <c r="D26" s="24" t="s">
        <v>46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x14ac:dyDescent="0.3">
      <c r="C27" s="18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ht="18" x14ac:dyDescent="0.35">
      <c r="C28" s="18"/>
      <c r="D28" s="11" t="s">
        <v>13</v>
      </c>
      <c r="E28" s="22">
        <f>COUNTIF(Tabela1[Visita],"&gt;0")</f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2" t="s">
        <v>25</v>
      </c>
      <c r="E29" s="23">
        <f>COUNTIF(Tabela112[Visita],"&gt;0")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26</v>
      </c>
      <c r="E30" s="12">
        <f>COUNTIF(Tabela11213[Visita],"&gt;0")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28</v>
      </c>
      <c r="E31" s="12">
        <f>COUNTIF(Tabela1121314[Visita],"&gt;0")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30</v>
      </c>
      <c r="E32" s="23">
        <f>COUNTIF(Tabela112131415[Visita],"&gt;0")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32</v>
      </c>
      <c r="E33" s="23">
        <f>COUNTIF(Tabela11213141516[Visita],"&gt;0")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34</v>
      </c>
      <c r="E34" s="12">
        <f>COUNTIF(Tabela1121314151617[Visita],"&gt;0")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36</v>
      </c>
      <c r="E35" s="12">
        <f>COUNTIF(Tabela112131415161718[Visita],"&gt;0")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38</v>
      </c>
      <c r="E36" s="23">
        <f>COUNTIF(Tabela11213141516171819[Visita],"&gt;0")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40</v>
      </c>
      <c r="E37" s="23">
        <f>COUNTIF(Tabela1121314151617181920[Visita],"&gt;0")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3" t="s">
        <v>42</v>
      </c>
      <c r="E38" s="12">
        <f>COUNTIF(Tabela112131415161718192021[Visita],"&gt;0")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44</v>
      </c>
      <c r="E39" s="13">
        <f>COUNTIF(Tabela11213141516171819202122[Visita],"&gt;0")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x14ac:dyDescent="0.3">
      <c r="C40" s="1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ht="15" thickBot="1" x14ac:dyDescent="0.35">
      <c r="C41" s="20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21"/>
    </row>
    <row r="44" spans="3:16" ht="15" thickBot="1" x14ac:dyDescent="0.35"/>
    <row r="45" spans="3:16" x14ac:dyDescent="0.3">
      <c r="C45" s="16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7"/>
    </row>
    <row r="46" spans="3:16" ht="18" x14ac:dyDescent="0.35">
      <c r="C46" s="18"/>
      <c r="D46" s="24" t="s">
        <v>47</v>
      </c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9"/>
    </row>
    <row r="47" spans="3:16" x14ac:dyDescent="0.3">
      <c r="C47" s="18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ht="18" x14ac:dyDescent="0.35">
      <c r="C48" s="18"/>
      <c r="D48" s="11" t="s">
        <v>13</v>
      </c>
      <c r="E48" s="22">
        <f>COUNTIF(Tabela1[Data de Atendimento],"&gt;0")</f>
        <v>0</v>
      </c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2" t="s">
        <v>25</v>
      </c>
      <c r="E49" s="23">
        <f>COUNTIF(Tabela112[Data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26</v>
      </c>
      <c r="E50" s="12">
        <f>COUNTIF(Tabela11213[Data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28</v>
      </c>
      <c r="E51" s="12">
        <f>COUNTIF(Tabela1121314[Data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30</v>
      </c>
      <c r="E52" s="23">
        <f>COUNTIF(Tabela112131415[Data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32</v>
      </c>
      <c r="E53" s="23">
        <f>COUNTIF(Tabela11213141516[Data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34</v>
      </c>
      <c r="E54" s="12">
        <f>COUNTIF(Tabela1121314151617[Data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36</v>
      </c>
      <c r="E55" s="12">
        <f>COUNTIF(Tabela112131415161718[Data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38</v>
      </c>
      <c r="E56" s="23">
        <f>COUNTIF(Tabela11213141516171819[Data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40</v>
      </c>
      <c r="E57" s="23">
        <f>COUNTIF(Tabela1121314151617181920[Data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3" t="s">
        <v>42</v>
      </c>
      <c r="E58" s="12">
        <f>COUNTIF(Tabela112131415161718192021[Data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44</v>
      </c>
      <c r="E59" s="13">
        <f>COUNTIF(Tabela11213141516171819202122[Data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x14ac:dyDescent="0.3">
      <c r="C60" s="18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ht="15" thickBot="1" x14ac:dyDescent="0.35">
      <c r="C61" s="20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21"/>
    </row>
    <row r="64" spans="3:16" ht="15" thickBot="1" x14ac:dyDescent="0.35"/>
    <row r="65" spans="3:16" ht="18" x14ac:dyDescent="0.35">
      <c r="C65" s="25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7"/>
    </row>
    <row r="66" spans="3:16" ht="18" x14ac:dyDescent="0.35">
      <c r="C66" s="18"/>
      <c r="D66" s="24" t="s">
        <v>48</v>
      </c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9"/>
    </row>
    <row r="67" spans="3:16" x14ac:dyDescent="0.3">
      <c r="C67" s="18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ht="18" x14ac:dyDescent="0.35">
      <c r="C68" s="18"/>
      <c r="D68" s="11" t="s">
        <v>13</v>
      </c>
      <c r="E68" s="22">
        <f>COUNTIF(Tabela1[Tipo de Cliente],cálculos!$B$10)</f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2" t="s">
        <v>25</v>
      </c>
      <c r="E69" s="23">
        <f>COUNTIF(Tabela112[Tipo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26</v>
      </c>
      <c r="E70" s="12">
        <f>COUNTIF(Tabela11213[Tipo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28</v>
      </c>
      <c r="E71" s="12">
        <f>COUNTIF(Tabela1121314[Tipo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30</v>
      </c>
      <c r="E72" s="23">
        <f>COUNTIF(Tabela112131415[Tipo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32</v>
      </c>
      <c r="E73" s="23">
        <f>COUNTIF(Tabela11213141516[Tipo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34</v>
      </c>
      <c r="E74" s="12">
        <f>COUNTIF(Tabela1121314151617[Tipo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36</v>
      </c>
      <c r="E75" s="12">
        <f>COUNTIF(Tabela112131415161718[Tipo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38</v>
      </c>
      <c r="E76" s="23">
        <f>COUNTIF(Tabela11213141516171819[Tipo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40</v>
      </c>
      <c r="E77" s="23">
        <f>COUNTIF(Tabela1121314151617181920[Tipo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3" t="s">
        <v>42</v>
      </c>
      <c r="E78" s="12">
        <f>COUNTIF(Tabela112131415161718192021[Tipo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44</v>
      </c>
      <c r="E79" s="13">
        <f>COUNTIF(Tabela11213141516171819202122[Tipo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x14ac:dyDescent="0.3">
      <c r="C80" s="18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ht="15" thickBot="1" x14ac:dyDescent="0.35">
      <c r="C82" s="20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21"/>
    </row>
    <row r="85" spans="3:16" ht="15" thickBot="1" x14ac:dyDescent="0.35"/>
    <row r="86" spans="3:16" x14ac:dyDescent="0.3"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7"/>
    </row>
    <row r="87" spans="3:16" ht="18" x14ac:dyDescent="0.35">
      <c r="C87" s="18"/>
      <c r="D87" s="24" t="s">
        <v>55</v>
      </c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9"/>
    </row>
    <row r="88" spans="3:16" x14ac:dyDescent="0.3">
      <c r="C88" s="18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ht="18" x14ac:dyDescent="0.35">
      <c r="C89" s="18"/>
      <c r="D89" s="11" t="s">
        <v>13</v>
      </c>
      <c r="E89" s="22">
        <f>COUNTIF(Tabela1[Tipo de Cliente],cálculos!$B$11)</f>
        <v>0</v>
      </c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2" t="s">
        <v>25</v>
      </c>
      <c r="E90" s="23">
        <f>COUNTIF(Tabela112[Tipo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26</v>
      </c>
      <c r="E91" s="12">
        <f>COUNTIF(Tabela11213[Tipo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28</v>
      </c>
      <c r="E92" s="12">
        <f>COUNTIF(Tabela1121314[Tipo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30</v>
      </c>
      <c r="E93" s="23">
        <f>COUNTIF(Tabela112131415[Tipo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32</v>
      </c>
      <c r="E94" s="23">
        <f>COUNTIF(Tabela11213141516[Tipo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34</v>
      </c>
      <c r="E95" s="12">
        <f>COUNTIF(Tabela1121314151617[Tipo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36</v>
      </c>
      <c r="E96" s="12">
        <f>COUNTIF(Tabela112131415161718[Tipo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38</v>
      </c>
      <c r="E97" s="23">
        <f>COUNTIF(Tabela11213141516171819[Tipo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40</v>
      </c>
      <c r="E98" s="23">
        <f>COUNTIF(Tabela1121314151617181920[Tipo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3" t="s">
        <v>42</v>
      </c>
      <c r="E99" s="12">
        <f>COUNTIF(Tabela112131415161718192021[Tipo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44</v>
      </c>
      <c r="E100" s="13">
        <f>COUNTIF(Tabela11213141516171819202122[Tipo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x14ac:dyDescent="0.3">
      <c r="C101" s="18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ht="15" thickBot="1" x14ac:dyDescent="0.35">
      <c r="C104" s="20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21"/>
    </row>
    <row r="108" spans="3:16" ht="15" thickBot="1" x14ac:dyDescent="0.35"/>
    <row r="109" spans="3:16" x14ac:dyDescent="0.3"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7"/>
    </row>
    <row r="110" spans="3:16" ht="18" x14ac:dyDescent="0.35">
      <c r="C110" s="18"/>
      <c r="D110" s="24" t="s">
        <v>49</v>
      </c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9"/>
    </row>
    <row r="111" spans="3:16" x14ac:dyDescent="0.3">
      <c r="C111" s="18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ht="18" x14ac:dyDescent="0.35">
      <c r="C112" s="18"/>
      <c r="D112" s="11" t="s">
        <v>13</v>
      </c>
      <c r="E112" s="22">
        <f>COUNTIF(Tabela1[Venda],cálculos!$B$4)</f>
        <v>0</v>
      </c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2" t="s">
        <v>25</v>
      </c>
      <c r="E113" s="23">
        <f>COUNTIF(Tabela112[Venda],cálculos!$B$4)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26</v>
      </c>
      <c r="E114" s="12">
        <f>COUNTIF(Tabela11213[Venda],cálculos!$B$4)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28</v>
      </c>
      <c r="E115" s="12">
        <f>COUNTIF(Tabela1121314[Venda],cálculos!$B$4)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30</v>
      </c>
      <c r="E116" s="23">
        <f>COUNTIF(Tabela112131415[Venda],cálculos!$B$4)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32</v>
      </c>
      <c r="E117" s="23">
        <f>COUNTIF(Tabela11213141516[Venda],cálculos!$B$4)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34</v>
      </c>
      <c r="E118" s="12">
        <f>COUNTIF(Tabela1121314151617[Venda],cálculos!$B$4)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36</v>
      </c>
      <c r="E119" s="12">
        <f>COUNTIF(Tabela112131415161718[Venda],cálculos!$B$4)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38</v>
      </c>
      <c r="E120" s="23">
        <f>COUNTIF(Tabela11213141516171819[Venda],cálculos!$B$4)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40</v>
      </c>
      <c r="E121" s="23">
        <f>COUNTIF(Tabela1121314151617181920[Venda],cálculos!$B$4)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3" t="s">
        <v>42</v>
      </c>
      <c r="E122" s="12">
        <f>COUNTIF(Tabela112131415161718192021[Venda],cálculos!$B$4)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44</v>
      </c>
      <c r="E123" s="13">
        <f>COUNTIF(Tabela11213141516171819202122[Venda],cálculos!$B$4)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5" thickBot="1" x14ac:dyDescent="0.35">
      <c r="C124" s="20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21"/>
    </row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1"/>
  <sheetViews>
    <sheetView workbookViewId="0">
      <selection activeCell="B10" sqref="B10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2020-05-12T01:47:36Z</dcterms:modified>
</cp:coreProperties>
</file>